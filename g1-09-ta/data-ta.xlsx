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C:\Users\Sven\Documents\School\Radboud\Computing Science\Minor\Vakken\Human-Computer Interaction\Ex3\hci-ex3\g1-09-ta\"/>
    </mc:Choice>
  </mc:AlternateContent>
  <xr:revisionPtr revIDLastSave="0" documentId="13_ncr:1_{3AD9F18B-CC4A-4242-A467-A1345B6C56E5}" xr6:coauthVersionLast="47" xr6:coauthVersionMax="47" xr10:uidLastSave="{00000000-0000-0000-0000-000000000000}"/>
  <bookViews>
    <workbookView xWindow="-110" yWindow="-110" windowWidth="25820" windowHeight="15500" tabRatio="503" activeTab="3" xr2:uid="{00000000-000D-0000-FFFF-FFFF00000000}"/>
  </bookViews>
  <sheets>
    <sheet name="Background Q" sheetId="3" r:id="rId1"/>
    <sheet name="Task Success" sheetId="1" r:id="rId2"/>
    <sheet name="Negative Findings (Problems)" sheetId="5" r:id="rId3"/>
    <sheet name="Positive Findings" sheetId="6" r:id="rId4"/>
    <sheet name="Feedback Q"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 i="6" l="1"/>
  <c r="K11" i="6"/>
  <c r="K12" i="6"/>
  <c r="K20" i="5"/>
  <c r="K21" i="5"/>
  <c r="K22" i="5"/>
  <c r="K9" i="6"/>
  <c r="K8" i="6"/>
  <c r="K7" i="6"/>
  <c r="K6" i="6"/>
  <c r="K5" i="6"/>
  <c r="K9" i="5"/>
  <c r="K10" i="5"/>
  <c r="K11" i="5"/>
  <c r="K12" i="5"/>
  <c r="K13" i="5"/>
  <c r="K14" i="5"/>
  <c r="K15" i="5"/>
  <c r="K16" i="5"/>
  <c r="K17" i="5"/>
  <c r="K18" i="5"/>
  <c r="K19" i="5"/>
  <c r="K6" i="5"/>
  <c r="K7" i="5"/>
  <c r="K8" i="5"/>
  <c r="T12" i="3"/>
  <c r="T11" i="3"/>
  <c r="O11" i="4"/>
  <c r="O10" i="4"/>
  <c r="P12" i="3" l="1"/>
  <c r="O12" i="3"/>
  <c r="P11" i="3"/>
  <c r="O11" i="3"/>
  <c r="M12" i="3"/>
  <c r="L12" i="3"/>
  <c r="M11" i="3"/>
  <c r="L11" i="3"/>
  <c r="Q11" i="4"/>
  <c r="Q10" i="4"/>
  <c r="P11" i="4"/>
  <c r="P10" i="4"/>
  <c r="K5" i="5"/>
  <c r="D11" i="1"/>
  <c r="E11" i="1"/>
  <c r="F11" i="1"/>
  <c r="G11" i="1"/>
  <c r="C11" i="1"/>
  <c r="C10" i="1"/>
  <c r="D10" i="1"/>
  <c r="E10" i="1"/>
  <c r="F10" i="1"/>
  <c r="G10" i="1"/>
  <c r="D11" i="3"/>
  <c r="I11" i="3"/>
  <c r="J11" i="3"/>
  <c r="D12" i="3"/>
  <c r="I12" i="3"/>
  <c r="J12" i="3"/>
  <c r="C10" i="4"/>
  <c r="D10" i="4"/>
  <c r="E10" i="4"/>
  <c r="F10" i="4"/>
  <c r="G10" i="4"/>
  <c r="H10" i="4"/>
  <c r="I10" i="4"/>
  <c r="J10" i="4"/>
  <c r="K10" i="4"/>
  <c r="L10" i="4"/>
  <c r="M10" i="4"/>
  <c r="N10" i="4"/>
  <c r="C11" i="4"/>
  <c r="D11" i="4"/>
  <c r="E11" i="4"/>
  <c r="F11" i="4"/>
  <c r="G11" i="4"/>
  <c r="H11" i="4"/>
  <c r="I11" i="4"/>
  <c r="J11" i="4"/>
  <c r="K11" i="4"/>
  <c r="L11" i="4"/>
  <c r="M11" i="4"/>
  <c r="N11" i="4"/>
</calcChain>
</file>

<file path=xl/sharedStrings.xml><?xml version="1.0" encoding="utf-8"?>
<sst xmlns="http://schemas.openxmlformats.org/spreadsheetml/2006/main" count="363" uniqueCount="253">
  <si>
    <t>Browser</t>
  </si>
  <si>
    <t>Firefox</t>
  </si>
  <si>
    <t>Sum</t>
  </si>
  <si>
    <t>Percent</t>
  </si>
  <si>
    <t>Task Success (Effectiveness: 0=failure, 1=success)</t>
  </si>
  <si>
    <t>StdDev</t>
  </si>
  <si>
    <t>Alias</t>
  </si>
  <si>
    <t>Age</t>
  </si>
  <si>
    <t>Occupation</t>
  </si>
  <si>
    <t>Education</t>
  </si>
  <si>
    <t>OS</t>
  </si>
  <si>
    <t>Windows</t>
  </si>
  <si>
    <t>Connection</t>
  </si>
  <si>
    <t>Previous Usability Tests</t>
  </si>
  <si>
    <t>Median</t>
  </si>
  <si>
    <t>Student</t>
  </si>
  <si>
    <t>User</t>
  </si>
  <si>
    <t>TP1 (Pilot)</t>
  </si>
  <si>
    <t>TP2</t>
  </si>
  <si>
    <t>TP3</t>
  </si>
  <si>
    <t>TP4</t>
  </si>
  <si>
    <t>TP5</t>
  </si>
  <si>
    <t>1 First Impressions</t>
  </si>
  <si>
    <t>2 Quality</t>
  </si>
  <si>
    <t>3 Easy to Read</t>
  </si>
  <si>
    <t>4 Local Search</t>
  </si>
  <si>
    <t>5 Appearance</t>
  </si>
  <si>
    <t>6 Consistency</t>
  </si>
  <si>
    <t>7 Speed</t>
  </si>
  <si>
    <t>8 Caring</t>
  </si>
  <si>
    <t>9 Relevance</t>
  </si>
  <si>
    <t>Severity</t>
  </si>
  <si>
    <t>No.</t>
  </si>
  <si>
    <t>Short Title</t>
  </si>
  <si>
    <t>Description</t>
  </si>
  <si>
    <t>Timestamp(s)</t>
  </si>
  <si>
    <t>Location (How Reproducible?)</t>
  </si>
  <si>
    <t>Positive Findings</t>
  </si>
  <si>
    <t>Negative Findings (Problems)</t>
  </si>
  <si>
    <t>Feedback Questionnaire</t>
  </si>
  <si>
    <t>Task Success</t>
  </si>
  <si>
    <t>Background Questionnaire</t>
  </si>
  <si>
    <t>Positivity</t>
  </si>
  <si>
    <t>Mean</t>
  </si>
  <si>
    <t>1 Navigation</t>
  </si>
  <si>
    <t>10 Overall Impression</t>
  </si>
  <si>
    <t>11 Trustworthy</t>
  </si>
  <si>
    <t>12 Return Visit</t>
  </si>
  <si>
    <t>14 ??</t>
  </si>
  <si>
    <t>General Information</t>
  </si>
  <si>
    <t>Web Use</t>
  </si>
  <si>
    <t>Device</t>
  </si>
  <si>
    <t>desktop</t>
  </si>
  <si>
    <t>laptop</t>
  </si>
  <si>
    <t>smartphone</t>
  </si>
  <si>
    <t>Tablet Use</t>
  </si>
  <si>
    <t>Personal Computer Use</t>
  </si>
  <si>
    <t>Years</t>
  </si>
  <si>
    <t>h/week</t>
  </si>
  <si>
    <t>none</t>
  </si>
  <si>
    <t>2 × iOS</t>
  </si>
  <si>
    <t>1 × Android</t>
  </si>
  <si>
    <t>1 × Unix</t>
  </si>
  <si>
    <t>2 × none</t>
  </si>
  <si>
    <t>Smartphone Use</t>
  </si>
  <si>
    <t>Android</t>
  </si>
  <si>
    <t>3 × Android</t>
  </si>
  <si>
    <t>cable</t>
  </si>
  <si>
    <t>Chrome</t>
  </si>
  <si>
    <t>3 × Firefox</t>
  </si>
  <si>
    <t>1 × Chrome</t>
  </si>
  <si>
    <t>n</t>
  </si>
  <si>
    <t>Domain-Specific Questions</t>
  </si>
  <si>
    <t>As Test Person</t>
  </si>
  <si>
    <t>In Test Team</t>
  </si>
  <si>
    <t>Type of Test</t>
  </si>
  <si>
    <t>Video Clip(s)</t>
  </si>
  <si>
    <t>Gender</t>
  </si>
  <si>
    <t>Highest</t>
  </si>
  <si>
    <t>1 × Edge</t>
  </si>
  <si>
    <t>1 × Mac</t>
  </si>
  <si>
    <t>3 × Windows</t>
  </si>
  <si>
    <t>13 Likely to Recommend</t>
  </si>
  <si>
    <t>15 ??</t>
  </si>
  <si>
    <t>man</t>
  </si>
  <si>
    <t>woman</t>
  </si>
  <si>
    <t>Area of Study</t>
  </si>
  <si>
    <t>A Levels</t>
  </si>
  <si>
    <t>Bachelor</t>
  </si>
  <si>
    <t>Q2</t>
  </si>
  <si>
    <t>Q1</t>
  </si>
  <si>
    <t>Q3</t>
  </si>
  <si>
    <t>"Emma"</t>
  </si>
  <si>
    <t>"Lily"</t>
  </si>
  <si>
    <t>"Chloe"</t>
  </si>
  <si>
    <t>"Jack"</t>
  </si>
  <si>
    <t>"Ethan"</t>
  </si>
  <si>
    <t>Musicology</t>
  </si>
  <si>
    <t>Structural Engineering</t>
  </si>
  <si>
    <t>Cooking</t>
  </si>
  <si>
    <t>Embedded Software</t>
  </si>
  <si>
    <t>Industrial Engineering</t>
  </si>
  <si>
    <t>Apple Mac.</t>
  </si>
  <si>
    <t>Vocational Train.</t>
  </si>
  <si>
    <t>17.5</t>
  </si>
  <si>
    <t>Apple</t>
  </si>
  <si>
    <t>5G</t>
  </si>
  <si>
    <t>wifi</t>
  </si>
  <si>
    <t>Safari</t>
  </si>
  <si>
    <t>few times a year</t>
  </si>
  <si>
    <t>never</t>
  </si>
  <si>
    <t>Am, MM</t>
  </si>
  <si>
    <t>Am, MM, Ref</t>
  </si>
  <si>
    <t>Am, Alibaba</t>
  </si>
  <si>
    <t>Am</t>
  </si>
  <si>
    <t>price</t>
  </si>
  <si>
    <t>N/A</t>
  </si>
  <si>
    <t>2 Find product</t>
  </si>
  <si>
    <t>3 Best of one</t>
  </si>
  <si>
    <t>4 Build PC</t>
  </si>
  <si>
    <t>5 Account</t>
  </si>
  <si>
    <t>The interface element "Spare mit Rabattcodes" remains in German even when the website is set to English</t>
  </si>
  <si>
    <t>Wrong Language Text</t>
  </si>
  <si>
    <t>TP1 00:02:00</t>
  </si>
  <si>
    <t>SJ</t>
  </si>
  <si>
    <t>LR</t>
  </si>
  <si>
    <t>DC</t>
  </si>
  <si>
    <t>FM</t>
  </si>
  <si>
    <t>Homepage → scroll down to category "Spare mit Rabattcodes"</t>
  </si>
  <si>
    <t>When the user searches for a MacBook, they note that the search results appear visually similar at first glance</t>
  </si>
  <si>
    <t>Visually Similar Search Results</t>
  </si>
  <si>
    <t>TP1 00:05:31</t>
  </si>
  <si>
    <t>Search for "apple laptop 128gb ram"</t>
  </si>
  <si>
    <t>Comparison Labels Overlap Content</t>
  </si>
  <si>
    <t>Scrolling horizontally within the comparison element causes specification parameters to become misaligned and overlap details</t>
  </si>
  <si>
    <t>TP1 00:10:58</t>
  </si>
  <si>
    <t>Search for "rx 9060 xt"  → click on a graphics card → Alternatives → Compare all alternatives</t>
  </si>
  <si>
    <t>The user is confused about the meaning of the green number indicators</t>
  </si>
  <si>
    <t>Unclear Meaning of Green Details</t>
  </si>
  <si>
    <t>TP1 00:11:28</t>
  </si>
  <si>
    <t>Homepage</t>
  </si>
  <si>
    <t>The user finds the website easy to navigate for people who are unfamiliar</t>
  </si>
  <si>
    <t>Easy Navigation for New Users</t>
  </si>
  <si>
    <t>TP1 00:02:23</t>
  </si>
  <si>
    <t>n-tp2-annoying-order-by-midnight.mp4</t>
  </si>
  <si>
    <t>TP2 00:20:49</t>
  </si>
  <si>
    <t>The user is annoyed by the AlzaBox banner  saying order by midnight at a lot of products</t>
  </si>
  <si>
    <t>Annoying Order by Midnight</t>
  </si>
  <si>
    <t>Homepage → Components → PC Builder → PC Configurator → Graphics Card</t>
  </si>
  <si>
    <t>Little Filtering Options</t>
  </si>
  <si>
    <t>Missing Apple Subcategory</t>
  </si>
  <si>
    <t>n-tp2-little-filtering.mp4</t>
  </si>
  <si>
    <t>n-tp2-no-apple-subcategory.mp4</t>
  </si>
  <si>
    <t>TP2 00:07:28</t>
  </si>
  <si>
    <t>Nice Green Checkmark</t>
  </si>
  <si>
    <t>p-tp2-nice-green-checkmarks.mp4</t>
  </si>
  <si>
    <t>TP1 00:23:40</t>
  </si>
  <si>
    <t>TP2 00:06:49</t>
  </si>
  <si>
    <t>User cannot find Apple subcategory under Computers, where they expected to find it in order to find the required product.</t>
  </si>
  <si>
    <t>Homepage → Computers and Laptops</t>
  </si>
  <si>
    <t>Search for "apple ma"</t>
  </si>
  <si>
    <t>The user needs to find a product of a certain type but can't use filtering options to get to this product after searching.</t>
  </si>
  <si>
    <t>The user likes the feedback that the green checkmarks give.</t>
  </si>
  <si>
    <t>My Alza → New Registration</t>
  </si>
  <si>
    <t>?</t>
  </si>
  <si>
    <t>PC Builder Guides User Through Build Steps</t>
  </si>
  <si>
    <t>The PC Builder tool prompts the user to select components in a logical order and suggests compatible parts at each step. The user completed the full build quickly and smoothly once they had found the configurator.</t>
  </si>
  <si>
    <t>p-tp5-pc-builder-guides-steps.mp4</t>
  </si>
  <si>
    <t>TP5 00:14:51</t>
  </si>
  <si>
    <t>PC Builder, whenever a user configures a PC</t>
  </si>
  <si>
    <t>Search Bar Provides Accurate Suggestions</t>
  </si>
  <si>
    <t>The search bar offered relevant and accurate autocomplete suggestions as the user typed. The user explicitly praised this at the end of the session.</t>
  </si>
  <si>
    <t>p-tp5-search-bar-praise.mp4</t>
  </si>
  <si>
    <t>TP5 00:21:51</t>
  </si>
  <si>
    <t>Site-wide search bar, on every page</t>
  </si>
  <si>
    <t>Language Switch Works Smoothly</t>
  </si>
  <si>
    <t>The user changed the language of the site quickly and without any difficulty.</t>
  </si>
  <si>
    <t>p-tp5-language-switch.mp4</t>
  </si>
  <si>
    <t>TP5 00:00:33</t>
  </si>
  <si>
    <t>Homepage → language selector</t>
  </si>
  <si>
    <t>No Visual Feedback When Adding PC Component</t>
  </si>
  <si>
    <t>After adding a power supply unit in the PC Builder, no confirmation message or visual change is shown. The user added the same product three times without realising it.</t>
  </si>
  <si>
    <t>n-tp5-pc-builder-no-feedback.mp4</t>
  </si>
  <si>
    <t>TP5 00:15:40</t>
  </si>
  <si>
    <t>PC Builder → last component selection</t>
  </si>
  <si>
    <t>PC Builder Has a Separate Shopping Cart</t>
  </si>
  <si>
    <t>The PC Builder uses its own separate shopping cart, independent of the main site cart. The user checked the main cart and was confused to find it empty.</t>
  </si>
  <si>
    <t>n-tp5-pc-builder-separate-cart.mp4</t>
  </si>
  <si>
    <t>TP5 00:16:14</t>
  </si>
  <si>
    <t>PC Builder → whenever user finishes configuring a PC</t>
  </si>
  <si>
    <t>Review Click Triggers CAPTCHA and Redirects to Login</t>
  </si>
  <si>
    <t>Clicking on the review count on a product page triggered an English-language CAPTCHA and then redirected the user to the login page.</t>
  </si>
  <si>
    <t>n-tp5-captcha-redirect.mp4</t>
  </si>
  <si>
    <t>TP5 00:03:00</t>
  </si>
  <si>
    <t>Any product page with reviews, when clicking on the review count</t>
  </si>
  <si>
    <t>Clicking on Product Image Does Not Open Product</t>
  </si>
  <si>
    <t>On search results pages, clicking the product image does nothing. Only clicking the product name navigates to the product page.</t>
  </si>
  <si>
    <t>n-tp5-image-not-clickable.mp4</t>
  </si>
  <si>
    <t>TP5 00:06:30</t>
  </si>
  <si>
    <t>Search results page, on every product listing</t>
  </si>
  <si>
    <t>No Specification Preview on Product Cards</t>
  </si>
  <si>
    <t>When comparing graphics cards by recommended power source, the user had to open each product page individually as no key specs are shown on the listing cards.</t>
  </si>
  <si>
    <t>n-tp5-no-spec-preview.mp4</t>
  </si>
  <si>
    <t>TP5 00:10:20</t>
  </si>
  <si>
    <t>Any product category listing page</t>
  </si>
  <si>
    <t>PC Configurator Difficult to Find</t>
  </si>
  <si>
    <t>The user spent time looking for the PC Configurator before eventually locating it. No prominent link guides users to this feature from the homepage.</t>
  </si>
  <si>
    <t>n-tp5-configurator-hard-to-find.mp4</t>
  </si>
  <si>
    <t>TP5 00:14:55</t>
  </si>
  <si>
    <t>Homepage and navigation menu</t>
  </si>
  <si>
    <t>No Back Navigation After Viewing Product</t>
  </si>
  <si>
    <t>After navigating into a product page, the user could not find a clear way to go back. The user commented it was "annoying".</t>
  </si>
  <si>
    <t>n-tp5-no-back-navigation.mp4</t>
  </si>
  <si>
    <t>TP5 00:01:55</t>
  </si>
  <si>
    <t>Any product page, whenever navigating deep into a product</t>
  </si>
  <si>
    <t>Duplicate Data Entry Required at Checkout</t>
  </si>
  <si>
    <t>During checkout, the user was asked to enter personal information that had already been provided during registration.</t>
  </si>
  <si>
    <t>n-tp5-duplicate-checkout-data.mp4</t>
  </si>
  <si>
    <t>TP5 00:20:40</t>
  </si>
  <si>
    <t>Checkout → payment step, first checkout after registration (it should take information eg. adres from registration form, bcs we inserted it there)</t>
  </si>
  <si>
    <t>n-tp1-wrong-language.mp4, n-tp2-random-another-language.mp4</t>
  </si>
  <si>
    <t>p-tp1-easy-to-use.mp4</t>
  </si>
  <si>
    <t>n-tp1-similar-products.mp4</t>
  </si>
  <si>
    <t>n-tp1-overlapping-bug.mp4</t>
  </si>
  <si>
    <t>n-tp1-unclear-green-details.mp4</t>
  </si>
  <si>
    <t>No Storage recommendation in PC configurator</t>
  </si>
  <si>
    <t>n-tp3-no-storage-recommendation.mp4</t>
  </si>
  <si>
    <t>The PC configurator does not ask whether the user wants to build a gaming PC or Server, recommending 12 TB of storage is way too much for a normal PC.</t>
  </si>
  <si>
    <t>TP3 00:23:00</t>
  </si>
  <si>
    <t>PC Builder → Component selection → Storage</t>
  </si>
  <si>
    <t>n-tp3-insufficient-description</t>
  </si>
  <si>
    <t>TP3 00:21:12</t>
  </si>
  <si>
    <t>PC Builder → Component selection → Processors</t>
  </si>
  <si>
    <t>Description of Motherboard socket is insufficient</t>
  </si>
  <si>
    <t>There is a short text explaining that not all CPUs fit on all Motherboards, but there is no closer description for that.</t>
  </si>
  <si>
    <t>n-tp4-overwhelming-design</t>
  </si>
  <si>
    <t>TP4 00:01:06</t>
  </si>
  <si>
    <t>Overwhelming design for first experience</t>
  </si>
  <si>
    <t>The website has a lot of popups, flashy design decisions, overlays, advertisements and bright colors which hinder the experience, especially as a first time user.</t>
  </si>
  <si>
    <t>p-tp3-good-filters.mp4</t>
  </si>
  <si>
    <t>TP3 00:07:25</t>
  </si>
  <si>
    <t>p-tp4-pc-builder-components</t>
  </si>
  <si>
    <t>p-tp4-shopping-cart-preserved</t>
  </si>
  <si>
    <t>TP4 00:15:50</t>
  </si>
  <si>
    <t>TP4 00:20:58</t>
  </si>
  <si>
    <t>Search filters are well designed and work smoothly</t>
  </si>
  <si>
    <t>PC Configurator guides through each component</t>
  </si>
  <si>
    <t>The shopping cart was preserved upon registering</t>
  </si>
  <si>
    <t>The search filter of the website is really neat and even has some more in depth search filters like the minimum recommended power source of a product.</t>
  </si>
  <si>
    <t>The PC Configurator guides you through each necessary PC component</t>
  </si>
  <si>
    <t>When the user put some items in the shopping cart as guest user and then created an account the items were preserved and automatically put into the users new shopping cart.</t>
  </si>
  <si>
    <t>Homepage → add item to cart → login/register an account → shopping cart</t>
  </si>
  <si>
    <t>Homepage → product category → filters on the left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</si>
</sst>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0"/>
      <name val="Arial"/>
    </font>
    <font>
      <b/>
      <i/>
      <sz val="10"/>
      <name val="Arial"/>
      <family val="2"/>
    </font>
    <font>
      <b/>
      <sz val="10"/>
      <name val="Arial"/>
      <family val="2"/>
    </font>
    <font>
      <sz val="10"/>
      <name val="Arial"/>
      <family val="2"/>
    </font>
  </fonts>
  <fills count="4">
    <fill>
      <patternFill patternType="none"/>
    </fill>
    <fill>
      <patternFill patternType="gray125"/>
    </fill>
    <fill>
      <patternFill patternType="solid">
        <fgColor indexed="22"/>
        <bgColor indexed="64"/>
      </patternFill>
    </fill>
    <fill>
      <patternFill patternType="solid">
        <fgColor indexed="42"/>
        <bgColor indexed="64"/>
      </patternFill>
    </fill>
  </fills>
  <borders count="34">
    <border>
      <left/>
      <right/>
      <top/>
      <bottom/>
      <diagonal/>
    </border>
    <border>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hair">
        <color indexed="8"/>
      </left>
      <right/>
      <top/>
      <bottom/>
      <diagonal/>
    </border>
    <border>
      <left/>
      <right/>
      <top/>
      <bottom style="medium">
        <color indexed="8"/>
      </bottom>
      <diagonal/>
    </border>
    <border>
      <left style="hair">
        <color indexed="8"/>
      </left>
      <right/>
      <top/>
      <bottom style="medium">
        <color indexed="8"/>
      </bottom>
      <diagonal/>
    </border>
  </borders>
  <cellStyleXfs count="1">
    <xf numFmtId="0" fontId="0" fillId="0" borderId="0"/>
  </cellStyleXfs>
  <cellXfs count="79">
    <xf numFmtId="0" fontId="0" fillId="0" borderId="0" xfId="0"/>
    <xf numFmtId="0" fontId="1" fillId="0" borderId="0" xfId="0" applyFont="1"/>
    <xf numFmtId="0" fontId="0" fillId="0" borderId="1" xfId="0" applyBorder="1"/>
    <xf numFmtId="0" fontId="1" fillId="0" borderId="2" xfId="0" applyFont="1" applyBorder="1"/>
    <xf numFmtId="0" fontId="0" fillId="0" borderId="3" xfId="0" applyBorder="1"/>
    <xf numFmtId="0" fontId="0" fillId="0" borderId="0" xfId="0" applyAlignment="1">
      <alignment horizontal="right"/>
    </xf>
    <xf numFmtId="0" fontId="2" fillId="0" borderId="0" xfId="0" applyFont="1"/>
    <xf numFmtId="0" fontId="1" fillId="2" borderId="4" xfId="0" applyFont="1" applyFill="1" applyBorder="1"/>
    <xf numFmtId="0" fontId="1" fillId="2" borderId="5" xfId="0" applyFont="1" applyFill="1" applyBorder="1"/>
    <xf numFmtId="0" fontId="2" fillId="2" borderId="6" xfId="0" applyFont="1" applyFill="1" applyBorder="1"/>
    <xf numFmtId="0" fontId="2" fillId="2" borderId="7" xfId="0" applyFont="1" applyFill="1" applyBorder="1"/>
    <xf numFmtId="0" fontId="2" fillId="2" borderId="8" xfId="0" applyFont="1" applyFill="1" applyBorder="1"/>
    <xf numFmtId="0" fontId="1" fillId="2" borderId="9" xfId="0" applyFont="1" applyFill="1" applyBorder="1"/>
    <xf numFmtId="0" fontId="1" fillId="2" borderId="11" xfId="0" applyFont="1" applyFill="1" applyBorder="1"/>
    <xf numFmtId="0" fontId="1" fillId="2" borderId="12" xfId="0" applyFont="1" applyFill="1" applyBorder="1"/>
    <xf numFmtId="0" fontId="0" fillId="0" borderId="13" xfId="0" applyBorder="1"/>
    <xf numFmtId="0" fontId="0" fillId="0" borderId="14" xfId="0" applyBorder="1"/>
    <xf numFmtId="2" fontId="0" fillId="0" borderId="0" xfId="0" applyNumberFormat="1"/>
    <xf numFmtId="0" fontId="0" fillId="0" borderId="0" xfId="0" applyAlignment="1">
      <alignment horizontal="center"/>
    </xf>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xf>
    <xf numFmtId="0" fontId="2" fillId="0" borderId="0" xfId="0" applyFont="1" applyAlignment="1">
      <alignment horizontal="left"/>
    </xf>
    <xf numFmtId="0" fontId="1" fillId="2" borderId="19" xfId="0" applyFont="1" applyFill="1" applyBorder="1" applyAlignment="1">
      <alignment horizontal="center"/>
    </xf>
    <xf numFmtId="0" fontId="2" fillId="0" borderId="0" xfId="0" applyFont="1" applyAlignment="1">
      <alignment horizontal="right"/>
    </xf>
    <xf numFmtId="1" fontId="0" fillId="3" borderId="3" xfId="0" applyNumberFormat="1" applyFill="1" applyBorder="1"/>
    <xf numFmtId="0" fontId="2" fillId="3" borderId="20" xfId="0" applyFont="1" applyFill="1" applyBorder="1"/>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0" borderId="21" xfId="0" applyFont="1" applyBorder="1" applyAlignment="1">
      <alignment horizontal="left"/>
    </xf>
    <xf numFmtId="0" fontId="0" fillId="0" borderId="22" xfId="0" applyBorder="1" applyAlignment="1">
      <alignment horizontal="center"/>
    </xf>
    <xf numFmtId="0" fontId="0" fillId="0" borderId="4" xfId="0" applyBorder="1" applyAlignment="1">
      <alignment horizontal="center"/>
    </xf>
    <xf numFmtId="2" fontId="0" fillId="3" borderId="10" xfId="0" applyNumberFormat="1" applyFill="1" applyBorder="1" applyAlignment="1">
      <alignment horizontal="center"/>
    </xf>
    <xf numFmtId="0" fontId="1" fillId="2" borderId="23" xfId="0" applyFont="1" applyFill="1" applyBorder="1"/>
    <xf numFmtId="0" fontId="1" fillId="2" borderId="24" xfId="0" applyFont="1" applyFill="1" applyBorder="1"/>
    <xf numFmtId="0" fontId="1" fillId="2" borderId="25" xfId="0" applyFont="1" applyFill="1" applyBorder="1"/>
    <xf numFmtId="0" fontId="3" fillId="0" borderId="3" xfId="0" applyFont="1" applyBorder="1"/>
    <xf numFmtId="0" fontId="3" fillId="0" borderId="22" xfId="0" applyFont="1" applyBorder="1" applyAlignment="1">
      <alignment horizontal="center"/>
    </xf>
    <xf numFmtId="2" fontId="3" fillId="0" borderId="0" xfId="0" applyNumberFormat="1" applyFont="1"/>
    <xf numFmtId="0" fontId="3" fillId="0" borderId="13" xfId="0" applyFont="1" applyBorder="1"/>
    <xf numFmtId="0" fontId="3" fillId="0" borderId="0" xfId="0" applyFont="1"/>
    <xf numFmtId="0" fontId="3" fillId="0" borderId="14" xfId="0" applyFont="1" applyBorder="1"/>
    <xf numFmtId="1" fontId="0" fillId="3" borderId="26" xfId="0" applyNumberFormat="1" applyFill="1" applyBorder="1"/>
    <xf numFmtId="164" fontId="2" fillId="3" borderId="27" xfId="0" applyNumberFormat="1" applyFont="1" applyFill="1" applyBorder="1"/>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9" fontId="0" fillId="3" borderId="26" xfId="0" applyNumberFormat="1" applyFill="1" applyBorder="1"/>
    <xf numFmtId="164" fontId="2" fillId="3" borderId="26" xfId="0" applyNumberFormat="1" applyFont="1" applyFill="1" applyBorder="1" applyAlignment="1">
      <alignment horizontal="center"/>
    </xf>
    <xf numFmtId="164" fontId="3" fillId="3" borderId="27" xfId="0" applyNumberFormat="1" applyFont="1" applyFill="1" applyBorder="1"/>
    <xf numFmtId="0" fontId="0" fillId="0" borderId="3" xfId="0" applyBorder="1" applyAlignment="1">
      <alignment horizontal="right"/>
    </xf>
    <xf numFmtId="0" fontId="0" fillId="0" borderId="15" xfId="0" applyBorder="1" applyAlignment="1">
      <alignment horizontal="right"/>
    </xf>
    <xf numFmtId="0" fontId="0" fillId="0" borderId="16" xfId="0" applyBorder="1" applyAlignment="1">
      <alignment horizontal="right"/>
    </xf>
    <xf numFmtId="0" fontId="0" fillId="0" borderId="31" xfId="0" applyBorder="1"/>
    <xf numFmtId="0" fontId="0" fillId="0" borderId="32" xfId="0" applyBorder="1"/>
    <xf numFmtId="0" fontId="0" fillId="0" borderId="33" xfId="0" applyBorder="1" applyAlignment="1">
      <alignment horizontal="right"/>
    </xf>
    <xf numFmtId="0" fontId="2" fillId="0" borderId="31" xfId="0" applyFont="1" applyBorder="1"/>
    <xf numFmtId="0" fontId="2" fillId="0" borderId="33" xfId="0" applyFont="1" applyBorder="1" applyAlignment="1">
      <alignment horizontal="right"/>
    </xf>
    <xf numFmtId="0" fontId="2" fillId="0" borderId="32" xfId="0" applyFont="1" applyBorder="1"/>
    <xf numFmtId="0" fontId="3" fillId="0" borderId="19" xfId="0" applyFont="1" applyBorder="1"/>
    <xf numFmtId="0" fontId="3" fillId="0" borderId="16" xfId="0" applyFont="1" applyBorder="1"/>
    <xf numFmtId="0" fontId="0" fillId="0" borderId="0" xfId="0" applyAlignment="1">
      <alignment vertical="top"/>
    </xf>
    <xf numFmtId="0" fontId="0" fillId="0" borderId="0" xfId="0" applyAlignment="1">
      <alignment vertical="top" wrapText="1"/>
    </xf>
    <xf numFmtId="0" fontId="3" fillId="0" borderId="0" xfId="0" applyFont="1" applyAlignment="1">
      <alignment vertical="top"/>
    </xf>
    <xf numFmtId="0" fontId="0" fillId="0" borderId="31" xfId="0" applyBorder="1" applyAlignment="1">
      <alignment vertical="top"/>
    </xf>
    <xf numFmtId="2" fontId="0" fillId="0" borderId="31" xfId="0" applyNumberFormat="1" applyBorder="1" applyAlignment="1">
      <alignment vertical="top"/>
    </xf>
    <xf numFmtId="0" fontId="3" fillId="0" borderId="0" xfId="0" applyFont="1" applyAlignment="1">
      <alignment horizontal="right" vertical="top"/>
    </xf>
    <xf numFmtId="0" fontId="3" fillId="0" borderId="0" xfId="0" applyFont="1" applyAlignment="1">
      <alignment vertical="top" wrapText="1"/>
    </xf>
    <xf numFmtId="0" fontId="1" fillId="2" borderId="4" xfId="0" applyFont="1" applyFill="1" applyBorder="1" applyAlignment="1">
      <alignment horizontal="right"/>
    </xf>
    <xf numFmtId="0" fontId="1" fillId="2" borderId="2" xfId="0" applyFont="1" applyFill="1" applyBorder="1" applyAlignment="1">
      <alignment horizontal="right"/>
    </xf>
    <xf numFmtId="0" fontId="0" fillId="0" borderId="1" xfId="0" applyBorder="1" applyAlignment="1">
      <alignment horizontal="left"/>
    </xf>
    <xf numFmtId="0" fontId="0" fillId="0" borderId="15" xfId="0" applyBorder="1" applyAlignment="1">
      <alignment horizontal="left"/>
    </xf>
    <xf numFmtId="0" fontId="1" fillId="2" borderId="11" xfId="0" applyFont="1" applyFill="1" applyBorder="1" applyAlignment="1">
      <alignment horizontal="right"/>
    </xf>
    <xf numFmtId="20" fontId="0" fillId="0" borderId="0" xfId="0" applyNumberFormat="1" applyAlignment="1">
      <alignment vertical="top" wrapText="1"/>
    </xf>
    <xf numFmtId="0" fontId="2" fillId="2" borderId="6" xfId="0" applyFont="1" applyFill="1" applyBorder="1"/>
    <xf numFmtId="0" fontId="2" fillId="2" borderId="7" xfId="0" applyFont="1" applyFill="1" applyBorder="1"/>
    <xf numFmtId="0" fontId="0" fillId="0" borderId="7" xfId="0" applyBorder="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
  <sheetViews>
    <sheetView workbookViewId="0">
      <selection activeCell="C19" sqref="C19"/>
    </sheetView>
  </sheetViews>
  <sheetFormatPr defaultColWidth="11.453125" defaultRowHeight="12.5" x14ac:dyDescent="0.25"/>
  <cols>
    <col min="1" max="1" width="11.54296875" customWidth="1"/>
    <col min="2" max="2" width="12.1796875" customWidth="1"/>
    <col min="3" max="3" width="11.26953125" customWidth="1"/>
    <col min="4" max="4" width="5.81640625" bestFit="1" customWidth="1"/>
    <col min="5" max="5" width="17.54296875" bestFit="1" customWidth="1"/>
    <col min="6" max="6" width="15.26953125" bestFit="1" customWidth="1"/>
    <col min="7" max="7" width="23" customWidth="1"/>
    <col min="8" max="8" width="13" customWidth="1"/>
    <col min="9" max="9" width="6.7265625" customWidth="1"/>
    <col min="10" max="10" width="7.81640625" customWidth="1"/>
    <col min="11" max="11" width="13.54296875" customWidth="1"/>
    <col min="12" max="12" width="6.26953125" customWidth="1"/>
    <col min="13" max="13" width="7.1796875" customWidth="1"/>
    <col min="14" max="14" width="13.54296875" customWidth="1"/>
    <col min="15" max="15" width="6.26953125" customWidth="1"/>
    <col min="16" max="16" width="7.54296875" customWidth="1"/>
    <col min="17" max="17" width="13.453125" customWidth="1"/>
    <col min="18" max="18" width="12.7265625" customWidth="1"/>
    <col min="19" max="19" width="14" customWidth="1"/>
    <col min="20" max="20" width="8.26953125" customWidth="1"/>
    <col min="21" max="21" width="15.26953125" customWidth="1"/>
    <col min="22" max="22" width="13.453125" customWidth="1"/>
    <col min="23" max="23" width="13.54296875" customWidth="1"/>
    <col min="24" max="24" width="13.81640625" customWidth="1"/>
    <col min="25" max="25" width="13.1796875" customWidth="1"/>
    <col min="26" max="26" width="22.453125" customWidth="1"/>
  </cols>
  <sheetData>
    <row r="1" spans="1:26" ht="13" x14ac:dyDescent="0.3">
      <c r="A1" s="6" t="s">
        <v>41</v>
      </c>
    </row>
    <row r="2" spans="1:26" ht="13" thickBot="1" x14ac:dyDescent="0.3"/>
    <row r="3" spans="1:26" s="6" customFormat="1" ht="13" x14ac:dyDescent="0.3">
      <c r="C3" s="9" t="s">
        <v>49</v>
      </c>
      <c r="D3" s="10"/>
      <c r="E3" s="10"/>
      <c r="F3" s="9" t="s">
        <v>9</v>
      </c>
      <c r="G3" s="11"/>
      <c r="H3" s="9" t="s">
        <v>56</v>
      </c>
      <c r="I3" s="10"/>
      <c r="J3" s="10"/>
      <c r="K3" s="9" t="s">
        <v>55</v>
      </c>
      <c r="L3" s="10"/>
      <c r="M3" s="10"/>
      <c r="N3" s="9" t="s">
        <v>64</v>
      </c>
      <c r="O3" s="10"/>
      <c r="P3" s="10"/>
      <c r="Q3" s="9" t="s">
        <v>50</v>
      </c>
      <c r="R3" s="10"/>
      <c r="S3" s="10"/>
      <c r="T3" s="10"/>
      <c r="U3" s="76" t="s">
        <v>72</v>
      </c>
      <c r="V3" s="77"/>
      <c r="W3" s="78"/>
      <c r="X3" s="76" t="s">
        <v>13</v>
      </c>
      <c r="Y3" s="78"/>
      <c r="Z3" s="11"/>
    </row>
    <row r="4" spans="1:26" s="1" customFormat="1" ht="13.5" thickBot="1" x14ac:dyDescent="0.35">
      <c r="A4" s="31" t="s">
        <v>16</v>
      </c>
      <c r="B4" s="3" t="s">
        <v>6</v>
      </c>
      <c r="C4" s="7" t="s">
        <v>77</v>
      </c>
      <c r="D4" s="71" t="s">
        <v>7</v>
      </c>
      <c r="E4" s="12" t="s">
        <v>8</v>
      </c>
      <c r="F4" s="7" t="s">
        <v>78</v>
      </c>
      <c r="G4" s="8" t="s">
        <v>86</v>
      </c>
      <c r="H4" s="12" t="s">
        <v>10</v>
      </c>
      <c r="I4" s="70" t="s">
        <v>57</v>
      </c>
      <c r="J4" s="71" t="s">
        <v>58</v>
      </c>
      <c r="K4" s="12" t="s">
        <v>10</v>
      </c>
      <c r="L4" s="70" t="s">
        <v>57</v>
      </c>
      <c r="M4" s="71" t="s">
        <v>58</v>
      </c>
      <c r="N4" s="12" t="s">
        <v>10</v>
      </c>
      <c r="O4" s="70" t="s">
        <v>57</v>
      </c>
      <c r="P4" s="71" t="s">
        <v>58</v>
      </c>
      <c r="Q4" s="13" t="s">
        <v>51</v>
      </c>
      <c r="R4" s="13" t="s">
        <v>12</v>
      </c>
      <c r="S4" s="13" t="s">
        <v>0</v>
      </c>
      <c r="T4" s="74" t="s">
        <v>58</v>
      </c>
      <c r="U4" s="13" t="s">
        <v>90</v>
      </c>
      <c r="V4" s="13" t="s">
        <v>89</v>
      </c>
      <c r="W4" s="13" t="s">
        <v>91</v>
      </c>
      <c r="X4" s="13" t="s">
        <v>73</v>
      </c>
      <c r="Y4" s="13" t="s">
        <v>74</v>
      </c>
      <c r="Z4" s="14" t="s">
        <v>75</v>
      </c>
    </row>
    <row r="5" spans="1:26" x14ac:dyDescent="0.25">
      <c r="A5" s="2" t="s">
        <v>17</v>
      </c>
      <c r="B5" s="38" t="s">
        <v>92</v>
      </c>
      <c r="C5" s="72" t="s">
        <v>85</v>
      </c>
      <c r="D5" s="52">
        <v>19</v>
      </c>
      <c r="E5" s="38" t="s">
        <v>15</v>
      </c>
      <c r="F5" s="4" t="s">
        <v>87</v>
      </c>
      <c r="G5" s="4" t="s">
        <v>97</v>
      </c>
      <c r="H5" s="41" t="s">
        <v>11</v>
      </c>
      <c r="I5" s="52">
        <v>5</v>
      </c>
      <c r="J5" s="52">
        <v>7</v>
      </c>
      <c r="K5" s="41" t="s">
        <v>105</v>
      </c>
      <c r="L5" s="52">
        <v>15</v>
      </c>
      <c r="M5" s="52">
        <v>28</v>
      </c>
      <c r="N5" s="41" t="s">
        <v>65</v>
      </c>
      <c r="O5" s="52">
        <v>10</v>
      </c>
      <c r="P5" s="52">
        <v>28</v>
      </c>
      <c r="Q5" s="42" t="s">
        <v>52</v>
      </c>
      <c r="R5" s="16" t="s">
        <v>67</v>
      </c>
      <c r="S5" t="s">
        <v>68</v>
      </c>
      <c r="T5" s="16">
        <v>4</v>
      </c>
      <c r="U5" s="43" t="s">
        <v>109</v>
      </c>
      <c r="V5" s="43" t="s">
        <v>111</v>
      </c>
      <c r="W5" s="43" t="s">
        <v>115</v>
      </c>
      <c r="X5" s="43" t="s">
        <v>71</v>
      </c>
      <c r="Y5" s="43" t="s">
        <v>71</v>
      </c>
      <c r="Z5" s="43" t="s">
        <v>116</v>
      </c>
    </row>
    <row r="6" spans="1:26" x14ac:dyDescent="0.25">
      <c r="A6" s="2" t="s">
        <v>18</v>
      </c>
      <c r="B6" s="38" t="s">
        <v>93</v>
      </c>
      <c r="C6" s="72" t="s">
        <v>85</v>
      </c>
      <c r="D6" s="52">
        <v>24</v>
      </c>
      <c r="E6" s="38" t="s">
        <v>15</v>
      </c>
      <c r="F6" s="4" t="s">
        <v>88</v>
      </c>
      <c r="G6" s="4" t="s">
        <v>98</v>
      </c>
      <c r="H6" s="41" t="s">
        <v>11</v>
      </c>
      <c r="I6" s="52">
        <v>10</v>
      </c>
      <c r="J6" s="52">
        <v>35</v>
      </c>
      <c r="K6" s="15" t="s">
        <v>105</v>
      </c>
      <c r="L6" s="52">
        <v>15</v>
      </c>
      <c r="M6" s="52">
        <v>25</v>
      </c>
      <c r="N6" s="15" t="s">
        <v>105</v>
      </c>
      <c r="O6" s="52">
        <v>12</v>
      </c>
      <c r="P6" s="52">
        <v>25</v>
      </c>
      <c r="Q6" t="s">
        <v>53</v>
      </c>
      <c r="R6" s="4" t="s">
        <v>67</v>
      </c>
      <c r="S6" s="4" t="s">
        <v>68</v>
      </c>
      <c r="T6" s="4">
        <v>15</v>
      </c>
      <c r="U6" s="43" t="s">
        <v>109</v>
      </c>
      <c r="V6" s="4" t="s">
        <v>111</v>
      </c>
      <c r="W6" s="4" t="s">
        <v>115</v>
      </c>
      <c r="X6" s="43" t="s">
        <v>71</v>
      </c>
      <c r="Y6" s="4" t="s">
        <v>71</v>
      </c>
      <c r="Z6" s="43" t="s">
        <v>116</v>
      </c>
    </row>
    <row r="7" spans="1:26" x14ac:dyDescent="0.25">
      <c r="A7" s="2" t="s">
        <v>19</v>
      </c>
      <c r="B7" s="38" t="s">
        <v>94</v>
      </c>
      <c r="C7" s="72" t="s">
        <v>85</v>
      </c>
      <c r="D7" s="52">
        <v>19</v>
      </c>
      <c r="E7" s="38" t="s">
        <v>15</v>
      </c>
      <c r="F7" s="4" t="s">
        <v>103</v>
      </c>
      <c r="G7" s="4" t="s">
        <v>99</v>
      </c>
      <c r="H7" s="15" t="s">
        <v>11</v>
      </c>
      <c r="I7" s="52">
        <v>8</v>
      </c>
      <c r="J7" s="52" t="s">
        <v>104</v>
      </c>
      <c r="K7" s="15" t="s">
        <v>65</v>
      </c>
      <c r="L7" s="52">
        <v>30</v>
      </c>
      <c r="M7" s="52">
        <v>60</v>
      </c>
      <c r="N7" s="15" t="s">
        <v>105</v>
      </c>
      <c r="O7" s="52">
        <v>12</v>
      </c>
      <c r="P7" s="52">
        <v>60</v>
      </c>
      <c r="Q7" t="s">
        <v>54</v>
      </c>
      <c r="R7" s="4" t="s">
        <v>106</v>
      </c>
      <c r="S7" s="4" t="s">
        <v>68</v>
      </c>
      <c r="T7" s="4">
        <v>20</v>
      </c>
      <c r="U7" s="43" t="s">
        <v>109</v>
      </c>
      <c r="V7" s="4" t="s">
        <v>112</v>
      </c>
      <c r="W7" s="4" t="s">
        <v>115</v>
      </c>
      <c r="X7" s="43" t="s">
        <v>71</v>
      </c>
      <c r="Y7" s="4" t="s">
        <v>71</v>
      </c>
      <c r="Z7" s="43" t="s">
        <v>116</v>
      </c>
    </row>
    <row r="8" spans="1:26" x14ac:dyDescent="0.25">
      <c r="A8" s="2" t="s">
        <v>20</v>
      </c>
      <c r="B8" s="38" t="s">
        <v>95</v>
      </c>
      <c r="C8" s="72" t="s">
        <v>84</v>
      </c>
      <c r="D8" s="52">
        <v>29</v>
      </c>
      <c r="E8" s="38" t="s">
        <v>15</v>
      </c>
      <c r="F8" s="4" t="s">
        <v>103</v>
      </c>
      <c r="G8" s="4" t="s">
        <v>100</v>
      </c>
      <c r="H8" s="15" t="s">
        <v>11</v>
      </c>
      <c r="I8" s="52">
        <v>15</v>
      </c>
      <c r="J8" s="52">
        <v>55</v>
      </c>
      <c r="K8" s="15" t="s">
        <v>59</v>
      </c>
      <c r="L8" s="52">
        <v>0</v>
      </c>
      <c r="M8" s="52">
        <v>21</v>
      </c>
      <c r="N8" s="15" t="s">
        <v>65</v>
      </c>
      <c r="O8" s="52">
        <v>14</v>
      </c>
      <c r="P8" s="52">
        <v>21</v>
      </c>
      <c r="Q8" t="s">
        <v>53</v>
      </c>
      <c r="R8" s="4" t="s">
        <v>67</v>
      </c>
      <c r="S8" s="4" t="s">
        <v>1</v>
      </c>
      <c r="T8" s="4">
        <v>30</v>
      </c>
      <c r="U8" s="43" t="s">
        <v>109</v>
      </c>
      <c r="V8" s="4" t="s">
        <v>113</v>
      </c>
      <c r="W8" s="4" t="s">
        <v>115</v>
      </c>
      <c r="X8" s="43" t="s">
        <v>71</v>
      </c>
      <c r="Y8" s="4" t="s">
        <v>71</v>
      </c>
      <c r="Z8" s="43" t="s">
        <v>116</v>
      </c>
    </row>
    <row r="9" spans="1:26" x14ac:dyDescent="0.25">
      <c r="A9" s="19" t="s">
        <v>21</v>
      </c>
      <c r="B9" s="62" t="s">
        <v>96</v>
      </c>
      <c r="C9" s="73" t="s">
        <v>84</v>
      </c>
      <c r="D9" s="53">
        <v>24</v>
      </c>
      <c r="E9" s="38" t="s">
        <v>15</v>
      </c>
      <c r="F9" s="20" t="s">
        <v>88</v>
      </c>
      <c r="G9" s="20" t="s">
        <v>101</v>
      </c>
      <c r="H9" s="21" t="s">
        <v>102</v>
      </c>
      <c r="I9" s="54">
        <v>15</v>
      </c>
      <c r="J9" s="54">
        <v>56</v>
      </c>
      <c r="K9" s="21" t="s">
        <v>59</v>
      </c>
      <c r="L9" s="54">
        <v>0</v>
      </c>
      <c r="M9" s="54">
        <v>14</v>
      </c>
      <c r="N9" s="21" t="s">
        <v>105</v>
      </c>
      <c r="O9" s="54">
        <v>12</v>
      </c>
      <c r="P9" s="54">
        <v>14</v>
      </c>
      <c r="Q9" s="22" t="s">
        <v>53</v>
      </c>
      <c r="R9" s="20" t="s">
        <v>107</v>
      </c>
      <c r="S9" s="22" t="s">
        <v>108</v>
      </c>
      <c r="T9" s="20">
        <v>28</v>
      </c>
      <c r="U9" s="20" t="s">
        <v>110</v>
      </c>
      <c r="V9" s="20" t="s">
        <v>114</v>
      </c>
      <c r="W9" s="20" t="s">
        <v>115</v>
      </c>
      <c r="X9" s="61" t="s">
        <v>71</v>
      </c>
      <c r="Y9" s="20" t="s">
        <v>71</v>
      </c>
      <c r="Z9" s="43" t="s">
        <v>116</v>
      </c>
    </row>
    <row r="10" spans="1:26" ht="13" thickBot="1" x14ac:dyDescent="0.3">
      <c r="I10" s="18"/>
      <c r="J10" s="18"/>
      <c r="L10" s="18"/>
      <c r="M10" s="18"/>
      <c r="O10" s="18"/>
      <c r="P10" s="18"/>
    </row>
    <row r="11" spans="1:26" ht="13" x14ac:dyDescent="0.3">
      <c r="A11" s="24"/>
      <c r="B11" s="26" t="s">
        <v>43</v>
      </c>
      <c r="C11" s="5"/>
      <c r="D11" s="51">
        <f>AVERAGE(D5:D9)</f>
        <v>23</v>
      </c>
      <c r="E11" s="17"/>
      <c r="F11" s="17"/>
      <c r="G11" s="17"/>
      <c r="H11" s="40" t="s">
        <v>81</v>
      </c>
      <c r="I11" s="45">
        <f>AVERAGE(I5:I9)</f>
        <v>10.6</v>
      </c>
      <c r="J11" s="45">
        <f>AVERAGE(J5:J9)</f>
        <v>38.25</v>
      </c>
      <c r="K11" s="40" t="s">
        <v>60</v>
      </c>
      <c r="L11" s="45">
        <f>AVERAGE(L5:L9)</f>
        <v>12</v>
      </c>
      <c r="M11" s="45">
        <f>AVERAGE(M5:M9)</f>
        <v>29.6</v>
      </c>
      <c r="N11" s="40" t="s">
        <v>66</v>
      </c>
      <c r="O11" s="45">
        <f>AVERAGE(O5:O9)</f>
        <v>12</v>
      </c>
      <c r="P11" s="45">
        <f>AVERAGE(P5:P9)</f>
        <v>29.6</v>
      </c>
      <c r="Q11" s="17"/>
      <c r="R11" s="17"/>
      <c r="S11" s="40" t="s">
        <v>69</v>
      </c>
      <c r="T11" s="45">
        <f>AVERAGE(T5:T9)</f>
        <v>19.399999999999999</v>
      </c>
    </row>
    <row r="12" spans="1:26" ht="13.5" thickBot="1" x14ac:dyDescent="0.35">
      <c r="A12" s="24"/>
      <c r="B12" s="26" t="s">
        <v>14</v>
      </c>
      <c r="C12" s="5"/>
      <c r="D12" s="28">
        <f>MEDIAN(D5:D9)</f>
        <v>24</v>
      </c>
      <c r="H12" t="s">
        <v>80</v>
      </c>
      <c r="I12" s="28">
        <f>MEDIAN(I5:I9)</f>
        <v>10</v>
      </c>
      <c r="J12" s="28">
        <f>MEDIAN(J5:J9)</f>
        <v>45</v>
      </c>
      <c r="K12" t="s">
        <v>61</v>
      </c>
      <c r="L12" s="28">
        <f>MEDIAN(L5:L9)</f>
        <v>15</v>
      </c>
      <c r="M12" s="28">
        <f>MEDIAN(M5:M9)</f>
        <v>25</v>
      </c>
      <c r="N12" t="s">
        <v>60</v>
      </c>
      <c r="O12" s="28">
        <f>MEDIAN(O5:O9)</f>
        <v>12</v>
      </c>
      <c r="P12" s="28">
        <f>MEDIAN(P5:P9)</f>
        <v>25</v>
      </c>
      <c r="S12" s="40" t="s">
        <v>70</v>
      </c>
      <c r="T12" s="28">
        <f>MEDIAN(T5:T9)</f>
        <v>20</v>
      </c>
    </row>
    <row r="13" spans="1:26" x14ac:dyDescent="0.25">
      <c r="H13" t="s">
        <v>62</v>
      </c>
      <c r="K13" t="s">
        <v>63</v>
      </c>
      <c r="S13" s="40" t="s">
        <v>79</v>
      </c>
      <c r="T13" s="40"/>
    </row>
  </sheetData>
  <mergeCells count="2">
    <mergeCell ref="U3:W3"/>
    <mergeCell ref="X3:Y3"/>
  </mergeCells>
  <phoneticPr fontId="0" type="noConversion"/>
  <pageMargins left="0.75" right="0.75" top="1" bottom="1" header="0.4921259845" footer="0.492125984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workbookViewId="0">
      <selection activeCell="E26" sqref="E26"/>
    </sheetView>
  </sheetViews>
  <sheetFormatPr defaultColWidth="11.453125" defaultRowHeight="12.5" x14ac:dyDescent="0.25"/>
  <cols>
    <col min="1" max="1" width="9.54296875" bestFit="1" customWidth="1"/>
    <col min="2" max="2" width="12.1796875" style="23" bestFit="1" customWidth="1"/>
    <col min="3" max="3" width="19.7265625" customWidth="1"/>
    <col min="4" max="4" width="15.7265625" customWidth="1"/>
    <col min="5" max="5" width="11.7265625" customWidth="1"/>
    <col min="6" max="7" width="10.7265625" customWidth="1"/>
  </cols>
  <sheetData>
    <row r="1" spans="1:7" ht="13" x14ac:dyDescent="0.3">
      <c r="A1" s="6" t="s">
        <v>40</v>
      </c>
    </row>
    <row r="3" spans="1:7" ht="13" x14ac:dyDescent="0.3">
      <c r="C3" s="35" t="s">
        <v>4</v>
      </c>
      <c r="D3" s="36"/>
      <c r="E3" s="37"/>
      <c r="F3" s="25"/>
      <c r="G3" s="25"/>
    </row>
    <row r="4" spans="1:7" ht="13.5" thickBot="1" x14ac:dyDescent="0.35">
      <c r="A4" s="31" t="s">
        <v>16</v>
      </c>
      <c r="B4" s="3" t="s">
        <v>6</v>
      </c>
      <c r="C4" s="25" t="s">
        <v>22</v>
      </c>
      <c r="D4" s="25" t="s">
        <v>117</v>
      </c>
      <c r="E4" s="25" t="s">
        <v>118</v>
      </c>
      <c r="F4" s="25" t="s">
        <v>119</v>
      </c>
      <c r="G4" s="25" t="s">
        <v>120</v>
      </c>
    </row>
    <row r="5" spans="1:7" x14ac:dyDescent="0.25">
      <c r="A5" s="2" t="s">
        <v>17</v>
      </c>
      <c r="B5" s="38" t="s">
        <v>92</v>
      </c>
      <c r="C5" s="27">
        <v>1</v>
      </c>
      <c r="D5" s="27">
        <v>1</v>
      </c>
      <c r="E5" s="27">
        <v>1</v>
      </c>
      <c r="F5" s="27">
        <v>1</v>
      </c>
      <c r="G5" s="27">
        <v>1</v>
      </c>
    </row>
    <row r="6" spans="1:7" x14ac:dyDescent="0.25">
      <c r="A6" s="2" t="s">
        <v>18</v>
      </c>
      <c r="B6" s="38" t="s">
        <v>93</v>
      </c>
      <c r="C6" s="27">
        <v>1</v>
      </c>
      <c r="D6" s="27">
        <v>0</v>
      </c>
      <c r="E6" s="27">
        <v>1</v>
      </c>
      <c r="F6" s="27">
        <v>0</v>
      </c>
      <c r="G6" s="27">
        <v>1</v>
      </c>
    </row>
    <row r="7" spans="1:7" x14ac:dyDescent="0.25">
      <c r="A7" s="2" t="s">
        <v>19</v>
      </c>
      <c r="B7" s="38" t="s">
        <v>94</v>
      </c>
      <c r="C7" s="27">
        <v>1</v>
      </c>
      <c r="D7" s="27">
        <v>0</v>
      </c>
      <c r="E7" s="27">
        <v>0</v>
      </c>
      <c r="F7" s="27">
        <v>0</v>
      </c>
      <c r="G7" s="27">
        <v>1</v>
      </c>
    </row>
    <row r="8" spans="1:7" x14ac:dyDescent="0.25">
      <c r="A8" s="2" t="s">
        <v>20</v>
      </c>
      <c r="B8" s="38" t="s">
        <v>95</v>
      </c>
      <c r="C8" s="27">
        <v>1</v>
      </c>
      <c r="D8" s="27">
        <v>1</v>
      </c>
      <c r="E8" s="27">
        <v>1</v>
      </c>
      <c r="F8" s="27">
        <v>1</v>
      </c>
      <c r="G8" s="27">
        <v>1</v>
      </c>
    </row>
    <row r="9" spans="1:7" ht="13" thickBot="1" x14ac:dyDescent="0.3">
      <c r="A9" s="19" t="s">
        <v>21</v>
      </c>
      <c r="B9" s="62" t="s">
        <v>96</v>
      </c>
      <c r="C9" s="27">
        <v>1</v>
      </c>
      <c r="D9" s="27">
        <v>1</v>
      </c>
      <c r="E9" s="27">
        <v>0</v>
      </c>
      <c r="F9" s="27">
        <v>1</v>
      </c>
      <c r="G9" s="27">
        <v>1</v>
      </c>
    </row>
    <row r="10" spans="1:7" ht="13.5" thickBot="1" x14ac:dyDescent="0.35">
      <c r="A10" s="24"/>
      <c r="B10" s="24" t="s">
        <v>2</v>
      </c>
      <c r="C10" s="44">
        <f>SUM(C5:C9)</f>
        <v>5</v>
      </c>
      <c r="D10" s="44">
        <f>SUM(D5:D9)</f>
        <v>3</v>
      </c>
      <c r="E10" s="44">
        <f>SUM(E5:E9)</f>
        <v>3</v>
      </c>
      <c r="F10" s="44">
        <f>SUM(F5:F9)</f>
        <v>3</v>
      </c>
      <c r="G10" s="44">
        <f>SUM(G5:G9)</f>
        <v>5</v>
      </c>
    </row>
    <row r="11" spans="1:7" ht="13" x14ac:dyDescent="0.3">
      <c r="A11" s="24"/>
      <c r="B11" s="24" t="s">
        <v>3</v>
      </c>
      <c r="C11" s="49">
        <f>SUM(C5:C9)/COUNT(C5:C9)</f>
        <v>1</v>
      </c>
      <c r="D11" s="49">
        <f>SUM(D5:D9)/COUNT(D5:D9)</f>
        <v>0.6</v>
      </c>
      <c r="E11" s="49">
        <f>SUM(E5:E9)/COUNT(E5:E9)</f>
        <v>0.6</v>
      </c>
      <c r="F11" s="49">
        <f>SUM(F5:F9)/COUNT(F5:F9)</f>
        <v>0.6</v>
      </c>
      <c r="G11" s="49">
        <f>SUM(G5:G9)/COUNT(G5:G9)</f>
        <v>1</v>
      </c>
    </row>
  </sheetData>
  <phoneticPr fontId="0" type="noConversion"/>
  <pageMargins left="0.75" right="0.75" top="1" bottom="1" header="0.4921259845" footer="0.4921259845"/>
  <pageSetup paperSize="9" orientation="portrait" horizontalDpi="4294967292"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
  <sheetViews>
    <sheetView workbookViewId="0">
      <selection activeCell="B5" sqref="B5"/>
    </sheetView>
  </sheetViews>
  <sheetFormatPr defaultColWidth="9.1796875" defaultRowHeight="12.5" x14ac:dyDescent="0.25"/>
  <cols>
    <col min="1" max="1" width="4" customWidth="1"/>
    <col min="2" max="2" width="36.1796875" customWidth="1"/>
    <col min="3" max="3" width="35.1796875" customWidth="1"/>
    <col min="4" max="4" width="34.453125" customWidth="1"/>
    <col min="5" max="5" width="25.81640625" customWidth="1"/>
    <col min="6" max="6" width="29" customWidth="1"/>
    <col min="7" max="10" width="4.54296875" style="55" customWidth="1"/>
    <col min="11" max="11" width="6.1796875" style="55" customWidth="1"/>
  </cols>
  <sheetData>
    <row r="1" spans="1:11" ht="13" x14ac:dyDescent="0.3">
      <c r="A1" s="6" t="s">
        <v>38</v>
      </c>
    </row>
    <row r="3" spans="1:11" ht="13" x14ac:dyDescent="0.3">
      <c r="G3" s="58" t="s">
        <v>31</v>
      </c>
    </row>
    <row r="4" spans="1:11" s="56" customFormat="1" ht="13.5" thickBot="1" x14ac:dyDescent="0.35">
      <c r="A4" s="60" t="s">
        <v>32</v>
      </c>
      <c r="B4" s="60" t="s">
        <v>33</v>
      </c>
      <c r="C4" s="60" t="s">
        <v>34</v>
      </c>
      <c r="D4" s="60" t="s">
        <v>76</v>
      </c>
      <c r="E4" s="60" t="s">
        <v>35</v>
      </c>
      <c r="F4" s="60" t="s">
        <v>36</v>
      </c>
      <c r="G4" s="57" t="s">
        <v>124</v>
      </c>
      <c r="H4" s="57" t="s">
        <v>125</v>
      </c>
      <c r="I4" s="57" t="s">
        <v>126</v>
      </c>
      <c r="J4" s="57" t="s">
        <v>127</v>
      </c>
      <c r="K4" s="59" t="s">
        <v>43</v>
      </c>
    </row>
    <row r="5" spans="1:11" ht="37.5" x14ac:dyDescent="0.25">
      <c r="A5" s="63">
        <v>1</v>
      </c>
      <c r="B5" s="64" t="s">
        <v>122</v>
      </c>
      <c r="C5" s="69" t="s">
        <v>121</v>
      </c>
      <c r="D5" s="69" t="s">
        <v>220</v>
      </c>
      <c r="E5" s="69" t="s">
        <v>123</v>
      </c>
      <c r="F5" s="69" t="s">
        <v>128</v>
      </c>
      <c r="G5" s="66">
        <v>2</v>
      </c>
      <c r="H5" s="66"/>
      <c r="I5" s="66"/>
      <c r="J5" s="66">
        <v>2</v>
      </c>
      <c r="K5" s="67">
        <f t="shared" ref="K5:K22" si="0">AVERAGE(G5:J5)</f>
        <v>2</v>
      </c>
    </row>
    <row r="6" spans="1:11" ht="37.5" x14ac:dyDescent="0.25">
      <c r="A6" s="63">
        <v>2</v>
      </c>
      <c r="B6" s="64" t="s">
        <v>130</v>
      </c>
      <c r="C6" s="64" t="s">
        <v>129</v>
      </c>
      <c r="D6" s="63" t="s">
        <v>222</v>
      </c>
      <c r="E6" s="63" t="s">
        <v>131</v>
      </c>
      <c r="F6" s="69" t="s">
        <v>132</v>
      </c>
      <c r="G6" s="66">
        <v>2</v>
      </c>
      <c r="H6" s="66"/>
      <c r="I6" s="66"/>
      <c r="J6" s="66">
        <v>2</v>
      </c>
      <c r="K6" s="67">
        <f t="shared" si="0"/>
        <v>2</v>
      </c>
    </row>
    <row r="7" spans="1:11" ht="37.5" x14ac:dyDescent="0.25">
      <c r="A7" s="63">
        <v>3</v>
      </c>
      <c r="B7" s="64" t="s">
        <v>133</v>
      </c>
      <c r="C7" s="64" t="s">
        <v>134</v>
      </c>
      <c r="D7" s="63" t="s">
        <v>223</v>
      </c>
      <c r="E7" s="63" t="s">
        <v>135</v>
      </c>
      <c r="F7" s="64" t="s">
        <v>136</v>
      </c>
      <c r="G7" s="66">
        <v>3</v>
      </c>
      <c r="H7" s="66"/>
      <c r="I7" s="66"/>
      <c r="J7" s="66">
        <v>3</v>
      </c>
      <c r="K7" s="67">
        <f t="shared" si="0"/>
        <v>3</v>
      </c>
    </row>
    <row r="8" spans="1:11" ht="37.5" x14ac:dyDescent="0.25">
      <c r="A8" s="63">
        <v>4</v>
      </c>
      <c r="B8" s="64" t="s">
        <v>138</v>
      </c>
      <c r="C8" s="64" t="s">
        <v>137</v>
      </c>
      <c r="D8" s="63" t="s">
        <v>224</v>
      </c>
      <c r="E8" s="69" t="s">
        <v>139</v>
      </c>
      <c r="F8" s="64" t="s">
        <v>136</v>
      </c>
      <c r="G8" s="66">
        <v>1</v>
      </c>
      <c r="H8" s="66"/>
      <c r="I8" s="66"/>
      <c r="J8" s="66">
        <v>1</v>
      </c>
      <c r="K8" s="67">
        <f t="shared" si="0"/>
        <v>1</v>
      </c>
    </row>
    <row r="9" spans="1:11" ht="37.5" x14ac:dyDescent="0.25">
      <c r="A9" s="63">
        <v>5</v>
      </c>
      <c r="B9" s="64" t="s">
        <v>147</v>
      </c>
      <c r="C9" s="64" t="s">
        <v>146</v>
      </c>
      <c r="D9" s="63" t="s">
        <v>144</v>
      </c>
      <c r="E9" s="63" t="s">
        <v>145</v>
      </c>
      <c r="F9" s="69" t="s">
        <v>148</v>
      </c>
      <c r="G9" s="66">
        <v>1</v>
      </c>
      <c r="H9" s="66"/>
      <c r="I9" s="66">
        <v>2</v>
      </c>
      <c r="J9" s="66">
        <v>1</v>
      </c>
      <c r="K9" s="67">
        <f t="shared" si="0"/>
        <v>1.3333333333333333</v>
      </c>
    </row>
    <row r="10" spans="1:11" ht="37.5" x14ac:dyDescent="0.25">
      <c r="A10" s="63">
        <v>6</v>
      </c>
      <c r="B10" s="64" t="s">
        <v>149</v>
      </c>
      <c r="C10" s="64" t="s">
        <v>161</v>
      </c>
      <c r="D10" s="63" t="s">
        <v>151</v>
      </c>
      <c r="E10" s="63" t="s">
        <v>153</v>
      </c>
      <c r="F10" s="69" t="s">
        <v>160</v>
      </c>
      <c r="G10" s="66">
        <v>2</v>
      </c>
      <c r="H10" s="66"/>
      <c r="I10" s="66"/>
      <c r="J10" s="66"/>
      <c r="K10" s="67">
        <f t="shared" si="0"/>
        <v>2</v>
      </c>
    </row>
    <row r="11" spans="1:11" ht="37.5" x14ac:dyDescent="0.25">
      <c r="A11" s="63">
        <v>7</v>
      </c>
      <c r="B11" s="64" t="s">
        <v>150</v>
      </c>
      <c r="C11" s="64" t="s">
        <v>158</v>
      </c>
      <c r="D11" s="63" t="s">
        <v>152</v>
      </c>
      <c r="E11" s="63" t="s">
        <v>157</v>
      </c>
      <c r="F11" s="64" t="s">
        <v>159</v>
      </c>
      <c r="G11" s="66">
        <v>2</v>
      </c>
      <c r="H11" s="66"/>
      <c r="I11" s="66"/>
      <c r="J11" s="66"/>
      <c r="K11" s="67">
        <f t="shared" si="0"/>
        <v>2</v>
      </c>
    </row>
    <row r="12" spans="1:11" ht="62.5" x14ac:dyDescent="0.25">
      <c r="A12" s="68" t="s">
        <v>164</v>
      </c>
      <c r="B12" s="69" t="s">
        <v>180</v>
      </c>
      <c r="C12" s="69" t="s">
        <v>181</v>
      </c>
      <c r="D12" s="65" t="s">
        <v>182</v>
      </c>
      <c r="E12" s="65" t="s">
        <v>183</v>
      </c>
      <c r="F12" s="69" t="s">
        <v>184</v>
      </c>
      <c r="G12" s="66">
        <v>3</v>
      </c>
      <c r="H12" s="66"/>
      <c r="I12" s="66">
        <v>3</v>
      </c>
      <c r="J12" s="66"/>
      <c r="K12" s="67">
        <f t="shared" si="0"/>
        <v>3</v>
      </c>
    </row>
    <row r="13" spans="1:11" ht="50" x14ac:dyDescent="0.25">
      <c r="A13" s="68" t="s">
        <v>164</v>
      </c>
      <c r="B13" s="69" t="s">
        <v>185</v>
      </c>
      <c r="C13" s="69" t="s">
        <v>186</v>
      </c>
      <c r="D13" s="65" t="s">
        <v>187</v>
      </c>
      <c r="E13" s="65" t="s">
        <v>188</v>
      </c>
      <c r="F13" s="69" t="s">
        <v>189</v>
      </c>
      <c r="G13" s="66">
        <v>2</v>
      </c>
      <c r="H13" s="66"/>
      <c r="I13" s="66">
        <v>3</v>
      </c>
      <c r="J13" s="66"/>
      <c r="K13" s="67">
        <f t="shared" si="0"/>
        <v>2.5</v>
      </c>
    </row>
    <row r="14" spans="1:11" ht="50" x14ac:dyDescent="0.25">
      <c r="A14" s="68" t="s">
        <v>164</v>
      </c>
      <c r="B14" s="69" t="s">
        <v>190</v>
      </c>
      <c r="C14" s="69" t="s">
        <v>191</v>
      </c>
      <c r="D14" s="65" t="s">
        <v>192</v>
      </c>
      <c r="E14" s="65" t="s">
        <v>193</v>
      </c>
      <c r="F14" s="69" t="s">
        <v>194</v>
      </c>
      <c r="G14" s="66">
        <v>3</v>
      </c>
      <c r="H14" s="66"/>
      <c r="I14" s="66">
        <v>3</v>
      </c>
      <c r="J14" s="66"/>
      <c r="K14" s="67">
        <f t="shared" si="0"/>
        <v>3</v>
      </c>
    </row>
    <row r="15" spans="1:11" ht="50" x14ac:dyDescent="0.25">
      <c r="A15" s="68" t="s">
        <v>164</v>
      </c>
      <c r="B15" s="69" t="s">
        <v>195</v>
      </c>
      <c r="C15" s="69" t="s">
        <v>196</v>
      </c>
      <c r="D15" s="65" t="s">
        <v>197</v>
      </c>
      <c r="E15" s="65" t="s">
        <v>198</v>
      </c>
      <c r="F15" s="69" t="s">
        <v>199</v>
      </c>
      <c r="G15" s="66">
        <v>2</v>
      </c>
      <c r="H15" s="66"/>
      <c r="I15" s="66">
        <v>2</v>
      </c>
      <c r="J15" s="66"/>
      <c r="K15" s="67">
        <f t="shared" si="0"/>
        <v>2</v>
      </c>
    </row>
    <row r="16" spans="1:11" ht="62.5" x14ac:dyDescent="0.25">
      <c r="A16" s="68" t="s">
        <v>164</v>
      </c>
      <c r="B16" s="69" t="s">
        <v>200</v>
      </c>
      <c r="C16" s="69" t="s">
        <v>201</v>
      </c>
      <c r="D16" s="65" t="s">
        <v>202</v>
      </c>
      <c r="E16" s="65" t="s">
        <v>203</v>
      </c>
      <c r="F16" s="69" t="s">
        <v>204</v>
      </c>
      <c r="G16" s="66">
        <v>1</v>
      </c>
      <c r="H16" s="66"/>
      <c r="I16" s="66">
        <v>2</v>
      </c>
      <c r="J16" s="66"/>
      <c r="K16" s="67">
        <f t="shared" si="0"/>
        <v>1.5</v>
      </c>
    </row>
    <row r="17" spans="1:11" ht="50" x14ac:dyDescent="0.25">
      <c r="A17" s="68" t="s">
        <v>164</v>
      </c>
      <c r="B17" s="69" t="s">
        <v>205</v>
      </c>
      <c r="C17" s="69" t="s">
        <v>206</v>
      </c>
      <c r="D17" s="65" t="s">
        <v>207</v>
      </c>
      <c r="E17" s="65" t="s">
        <v>208</v>
      </c>
      <c r="F17" s="69" t="s">
        <v>209</v>
      </c>
      <c r="G17" s="66">
        <v>1</v>
      </c>
      <c r="H17" s="66"/>
      <c r="I17" s="66">
        <v>2</v>
      </c>
      <c r="J17" s="66"/>
      <c r="K17" s="67">
        <f t="shared" si="0"/>
        <v>1.5</v>
      </c>
    </row>
    <row r="18" spans="1:11" ht="50" x14ac:dyDescent="0.25">
      <c r="A18" s="68" t="s">
        <v>164</v>
      </c>
      <c r="B18" s="69" t="s">
        <v>210</v>
      </c>
      <c r="C18" s="69" t="s">
        <v>211</v>
      </c>
      <c r="D18" s="65" t="s">
        <v>212</v>
      </c>
      <c r="E18" s="65" t="s">
        <v>213</v>
      </c>
      <c r="F18" s="69" t="s">
        <v>214</v>
      </c>
      <c r="G18" s="66">
        <v>1</v>
      </c>
      <c r="H18" s="66"/>
      <c r="I18" s="66">
        <v>2</v>
      </c>
      <c r="J18" s="66"/>
      <c r="K18" s="67">
        <f t="shared" si="0"/>
        <v>1.5</v>
      </c>
    </row>
    <row r="19" spans="1:11" ht="62.5" x14ac:dyDescent="0.25">
      <c r="A19" s="68" t="s">
        <v>164</v>
      </c>
      <c r="B19" s="69" t="s">
        <v>215</v>
      </c>
      <c r="C19" s="69" t="s">
        <v>216</v>
      </c>
      <c r="D19" s="65" t="s">
        <v>217</v>
      </c>
      <c r="E19" s="65" t="s">
        <v>218</v>
      </c>
      <c r="F19" s="69" t="s">
        <v>219</v>
      </c>
      <c r="G19" s="66">
        <v>2</v>
      </c>
      <c r="H19" s="66"/>
      <c r="I19" s="66">
        <v>2</v>
      </c>
      <c r="J19" s="66"/>
      <c r="K19" s="67">
        <f t="shared" si="0"/>
        <v>2</v>
      </c>
    </row>
    <row r="20" spans="1:11" ht="50" x14ac:dyDescent="0.25">
      <c r="A20" s="68" t="s">
        <v>164</v>
      </c>
      <c r="B20" s="69" t="s">
        <v>225</v>
      </c>
      <c r="C20" s="69" t="s">
        <v>227</v>
      </c>
      <c r="D20" s="65" t="s">
        <v>226</v>
      </c>
      <c r="E20" s="65" t="s">
        <v>228</v>
      </c>
      <c r="F20" s="69" t="s">
        <v>229</v>
      </c>
      <c r="G20" s="55">
        <v>0</v>
      </c>
      <c r="H20" s="55">
        <v>3</v>
      </c>
      <c r="K20" s="67">
        <f t="shared" si="0"/>
        <v>1.5</v>
      </c>
    </row>
    <row r="21" spans="1:11" ht="37.5" x14ac:dyDescent="0.25">
      <c r="A21" s="68" t="s">
        <v>164</v>
      </c>
      <c r="B21" s="69" t="s">
        <v>233</v>
      </c>
      <c r="C21" s="69" t="s">
        <v>234</v>
      </c>
      <c r="D21" s="65" t="s">
        <v>230</v>
      </c>
      <c r="E21" s="65" t="s">
        <v>231</v>
      </c>
      <c r="F21" s="69" t="s">
        <v>232</v>
      </c>
      <c r="G21" s="55">
        <v>3</v>
      </c>
      <c r="H21" s="55">
        <v>2</v>
      </c>
      <c r="K21" s="67">
        <f t="shared" si="0"/>
        <v>2.5</v>
      </c>
    </row>
    <row r="22" spans="1:11" ht="62.5" x14ac:dyDescent="0.25">
      <c r="A22" s="68" t="s">
        <v>164</v>
      </c>
      <c r="B22" s="69" t="s">
        <v>237</v>
      </c>
      <c r="C22" s="69" t="s">
        <v>238</v>
      </c>
      <c r="D22" s="65" t="s">
        <v>235</v>
      </c>
      <c r="E22" s="65" t="s">
        <v>236</v>
      </c>
      <c r="F22" s="69" t="s">
        <v>140</v>
      </c>
      <c r="G22" s="55">
        <v>2</v>
      </c>
      <c r="K22" s="67">
        <f t="shared" si="0"/>
        <v>2</v>
      </c>
    </row>
    <row r="23" spans="1:11" x14ac:dyDescent="0.25">
      <c r="A23" s="68"/>
      <c r="K23" s="67"/>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
  <sheetViews>
    <sheetView tabSelected="1" workbookViewId="0">
      <selection activeCell="A5" sqref="A5"/>
    </sheetView>
  </sheetViews>
  <sheetFormatPr defaultColWidth="9.1796875" defaultRowHeight="12.5" x14ac:dyDescent="0.25"/>
  <cols>
    <col min="1" max="1" width="4" customWidth="1"/>
    <col min="2" max="2" width="36" customWidth="1"/>
    <col min="3" max="4" width="35.1796875" customWidth="1"/>
    <col min="5" max="5" width="26.1796875" customWidth="1"/>
    <col min="6" max="6" width="29.1796875" customWidth="1"/>
    <col min="7" max="10" width="4.54296875" style="55" customWidth="1"/>
    <col min="11" max="11" width="5.81640625" style="55" customWidth="1"/>
  </cols>
  <sheetData>
    <row r="1" spans="1:11" ht="13" x14ac:dyDescent="0.3">
      <c r="A1" s="6" t="s">
        <v>37</v>
      </c>
    </row>
    <row r="3" spans="1:11" ht="13" x14ac:dyDescent="0.3">
      <c r="G3" s="58" t="s">
        <v>42</v>
      </c>
    </row>
    <row r="4" spans="1:11" s="56" customFormat="1" ht="13.5" thickBot="1" x14ac:dyDescent="0.35">
      <c r="A4" s="60" t="s">
        <v>32</v>
      </c>
      <c r="B4" s="60" t="s">
        <v>33</v>
      </c>
      <c r="C4" s="60" t="s">
        <v>34</v>
      </c>
      <c r="D4" s="60" t="s">
        <v>76</v>
      </c>
      <c r="E4" s="60" t="s">
        <v>35</v>
      </c>
      <c r="F4" s="60" t="s">
        <v>36</v>
      </c>
      <c r="G4" s="57" t="s">
        <v>124</v>
      </c>
      <c r="H4" s="57" t="s">
        <v>125</v>
      </c>
      <c r="I4" s="57" t="s">
        <v>126</v>
      </c>
      <c r="J4" s="57" t="s">
        <v>127</v>
      </c>
      <c r="K4" s="59" t="s">
        <v>43</v>
      </c>
    </row>
    <row r="5" spans="1:11" ht="25" x14ac:dyDescent="0.25">
      <c r="A5" s="63">
        <v>1</v>
      </c>
      <c r="B5" s="64" t="s">
        <v>142</v>
      </c>
      <c r="C5" s="64" t="s">
        <v>141</v>
      </c>
      <c r="D5" s="64" t="s">
        <v>221</v>
      </c>
      <c r="E5" s="64" t="s">
        <v>143</v>
      </c>
      <c r="F5" s="69" t="s">
        <v>140</v>
      </c>
      <c r="G5" s="66">
        <v>2</v>
      </c>
      <c r="H5" s="66"/>
      <c r="I5" s="66"/>
      <c r="J5" s="66">
        <v>2</v>
      </c>
      <c r="K5" s="67">
        <f t="shared" ref="K5:K12" si="0">AVERAGE(G5:J5)</f>
        <v>2</v>
      </c>
    </row>
    <row r="6" spans="1:11" ht="25" x14ac:dyDescent="0.25">
      <c r="A6" s="63">
        <v>2</v>
      </c>
      <c r="B6" s="64" t="s">
        <v>154</v>
      </c>
      <c r="C6" s="64" t="s">
        <v>162</v>
      </c>
      <c r="D6" s="64" t="s">
        <v>155</v>
      </c>
      <c r="E6" s="64" t="s">
        <v>156</v>
      </c>
      <c r="F6" s="64" t="s">
        <v>163</v>
      </c>
      <c r="G6" s="66">
        <v>2</v>
      </c>
      <c r="H6" s="66"/>
      <c r="I6" s="66"/>
      <c r="J6" s="66"/>
      <c r="K6" s="67">
        <f t="shared" si="0"/>
        <v>2</v>
      </c>
    </row>
    <row r="7" spans="1:11" ht="75" x14ac:dyDescent="0.25">
      <c r="A7" s="63" t="s">
        <v>164</v>
      </c>
      <c r="B7" s="64" t="s">
        <v>165</v>
      </c>
      <c r="C7" s="64" t="s">
        <v>166</v>
      </c>
      <c r="D7" s="64" t="s">
        <v>167</v>
      </c>
      <c r="E7" s="64" t="s">
        <v>168</v>
      </c>
      <c r="F7" s="64" t="s">
        <v>169</v>
      </c>
      <c r="G7" s="66">
        <v>2</v>
      </c>
      <c r="H7" s="66"/>
      <c r="I7" s="66">
        <v>3</v>
      </c>
      <c r="J7" s="66"/>
      <c r="K7" s="67">
        <f t="shared" si="0"/>
        <v>2.5</v>
      </c>
    </row>
    <row r="8" spans="1:11" ht="50" x14ac:dyDescent="0.25">
      <c r="A8" s="63" t="s">
        <v>164</v>
      </c>
      <c r="B8" s="64" t="s">
        <v>170</v>
      </c>
      <c r="C8" s="64" t="s">
        <v>171</v>
      </c>
      <c r="D8" s="64" t="s">
        <v>172</v>
      </c>
      <c r="E8" s="64" t="s">
        <v>173</v>
      </c>
      <c r="F8" s="64" t="s">
        <v>174</v>
      </c>
      <c r="G8" s="66">
        <v>2</v>
      </c>
      <c r="H8" s="66"/>
      <c r="I8" s="66">
        <v>3</v>
      </c>
      <c r="J8" s="66"/>
      <c r="K8" s="67">
        <f t="shared" si="0"/>
        <v>2.5</v>
      </c>
    </row>
    <row r="9" spans="1:11" ht="25" x14ac:dyDescent="0.25">
      <c r="A9" s="63" t="s">
        <v>164</v>
      </c>
      <c r="B9" s="64" t="s">
        <v>175</v>
      </c>
      <c r="C9" s="64" t="s">
        <v>176</v>
      </c>
      <c r="D9" s="64" t="s">
        <v>177</v>
      </c>
      <c r="E9" s="64" t="s">
        <v>178</v>
      </c>
      <c r="F9" s="64" t="s">
        <v>179</v>
      </c>
      <c r="G9" s="66">
        <v>2</v>
      </c>
      <c r="H9" s="66"/>
      <c r="I9" s="66">
        <v>1</v>
      </c>
      <c r="J9" s="66"/>
      <c r="K9" s="67">
        <f t="shared" si="0"/>
        <v>1.5</v>
      </c>
    </row>
    <row r="10" spans="1:11" ht="50" x14ac:dyDescent="0.25">
      <c r="A10" s="63" t="s">
        <v>164</v>
      </c>
      <c r="B10" s="64" t="s">
        <v>245</v>
      </c>
      <c r="C10" s="64" t="s">
        <v>248</v>
      </c>
      <c r="D10" s="64" t="s">
        <v>239</v>
      </c>
      <c r="E10" s="64" t="s">
        <v>240</v>
      </c>
      <c r="F10" s="64" t="s">
        <v>252</v>
      </c>
      <c r="G10" s="66">
        <v>3</v>
      </c>
      <c r="H10" s="66">
        <v>3</v>
      </c>
      <c r="I10" s="66"/>
      <c r="J10" s="66"/>
      <c r="K10" s="67">
        <f t="shared" si="0"/>
        <v>3</v>
      </c>
    </row>
    <row r="11" spans="1:11" ht="25" x14ac:dyDescent="0.25">
      <c r="A11" s="63" t="s">
        <v>164</v>
      </c>
      <c r="B11" s="64" t="s">
        <v>246</v>
      </c>
      <c r="C11" s="64" t="s">
        <v>249</v>
      </c>
      <c r="D11" s="64" t="s">
        <v>241</v>
      </c>
      <c r="E11" s="75" t="s">
        <v>243</v>
      </c>
      <c r="F11" s="64" t="s">
        <v>169</v>
      </c>
      <c r="G11" s="66">
        <v>2</v>
      </c>
      <c r="H11" s="66">
        <v>2</v>
      </c>
      <c r="I11" s="66"/>
      <c r="J11" s="66"/>
      <c r="K11" s="67">
        <f t="shared" si="0"/>
        <v>2</v>
      </c>
    </row>
    <row r="12" spans="1:11" ht="62.5" x14ac:dyDescent="0.25">
      <c r="A12" s="63" t="s">
        <v>164</v>
      </c>
      <c r="B12" s="64" t="s">
        <v>247</v>
      </c>
      <c r="C12" s="64" t="s">
        <v>250</v>
      </c>
      <c r="D12" s="64" t="s">
        <v>242</v>
      </c>
      <c r="E12" s="64" t="s">
        <v>244</v>
      </c>
      <c r="F12" s="64" t="s">
        <v>251</v>
      </c>
      <c r="G12" s="66">
        <v>3</v>
      </c>
      <c r="H12" s="66">
        <v>3</v>
      </c>
      <c r="I12" s="66"/>
      <c r="J12" s="66"/>
      <c r="K12" s="67">
        <f t="shared" si="0"/>
        <v>3</v>
      </c>
    </row>
    <row r="13" spans="1:11" x14ac:dyDescent="0.25">
      <c r="A13" s="63"/>
      <c r="B13" s="64"/>
      <c r="C13" s="64"/>
      <c r="D13" s="64"/>
      <c r="E13" s="64"/>
      <c r="F13" s="64"/>
      <c r="G13" s="66"/>
      <c r="H13" s="66"/>
      <c r="I13" s="66"/>
      <c r="J13" s="66"/>
      <c r="K13" s="67"/>
    </row>
    <row r="14" spans="1:11" x14ac:dyDescent="0.25">
      <c r="A14" s="63"/>
      <c r="B14" s="64"/>
      <c r="C14" s="64"/>
      <c r="D14" s="64"/>
      <c r="E14" s="64"/>
      <c r="F14" s="64"/>
      <c r="G14" s="66"/>
      <c r="H14" s="66"/>
      <c r="I14" s="66"/>
      <c r="J14" s="66"/>
      <c r="K14" s="67"/>
    </row>
  </sheetData>
  <pageMargins left="0.7" right="0.7" top="0.75" bottom="0.75" header="0.3" footer="0.3"/>
  <pageSetup paperSize="9" orientation="portrait" horizontalDpi="24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1"/>
  <sheetViews>
    <sheetView workbookViewId="0">
      <selection activeCell="C2" sqref="C2"/>
    </sheetView>
  </sheetViews>
  <sheetFormatPr defaultColWidth="11.453125" defaultRowHeight="12.5" x14ac:dyDescent="0.25"/>
  <cols>
    <col min="1" max="1" width="9.54296875" bestFit="1" customWidth="1"/>
    <col min="2" max="2" width="12.1796875" style="23" bestFit="1" customWidth="1"/>
    <col min="3" max="3" width="22.1796875" bestFit="1" customWidth="1"/>
    <col min="4" max="4" width="18.1796875" bestFit="1" customWidth="1"/>
    <col min="5" max="5" width="23.1796875" bestFit="1" customWidth="1"/>
    <col min="6" max="6" width="19.1796875" bestFit="1" customWidth="1"/>
    <col min="7" max="7" width="27.81640625" bestFit="1" customWidth="1"/>
    <col min="8" max="8" width="23.81640625" bestFit="1" customWidth="1"/>
    <col min="9" max="9" width="27.81640625" bestFit="1" customWidth="1"/>
    <col min="10" max="10" width="23.81640625" bestFit="1" customWidth="1"/>
    <col min="11" max="11" width="32.1796875" bestFit="1" customWidth="1"/>
    <col min="12" max="12" width="29.1796875" bestFit="1" customWidth="1"/>
    <col min="13" max="13" width="24.1796875" bestFit="1" customWidth="1"/>
    <col min="14" max="14" width="20.1796875" bestFit="1" customWidth="1"/>
    <col min="15" max="15" width="24.453125" customWidth="1"/>
    <col min="16" max="17" width="20.1796875" bestFit="1" customWidth="1"/>
    <col min="18" max="18" width="22.1796875" customWidth="1"/>
    <col min="19" max="19" width="22" customWidth="1"/>
    <col min="20" max="20" width="15.7265625" customWidth="1"/>
    <col min="21" max="21" width="14" customWidth="1"/>
    <col min="22" max="22" width="17.54296875" customWidth="1"/>
    <col min="23" max="23" width="16" customWidth="1"/>
    <col min="24" max="24" width="25" customWidth="1"/>
    <col min="25" max="25" width="19.81640625" customWidth="1"/>
    <col min="26" max="26" width="10.1796875" customWidth="1"/>
    <col min="27" max="27" width="7.81640625" customWidth="1"/>
    <col min="28" max="28" width="8.7265625" customWidth="1"/>
    <col min="29" max="29" width="9.54296875" customWidth="1"/>
    <col min="30" max="30" width="8.7265625" customWidth="1"/>
    <col min="31" max="31" width="29.453125" customWidth="1"/>
  </cols>
  <sheetData>
    <row r="1" spans="1:17" ht="13" x14ac:dyDescent="0.3">
      <c r="A1" s="6" t="s">
        <v>39</v>
      </c>
    </row>
    <row r="3" spans="1:17" s="1" customFormat="1" ht="13.5" thickBot="1" x14ac:dyDescent="0.35">
      <c r="A3" s="31" t="s">
        <v>16</v>
      </c>
      <c r="B3" s="3" t="s">
        <v>6</v>
      </c>
      <c r="C3" s="29" t="s">
        <v>44</v>
      </c>
      <c r="D3" s="30" t="s">
        <v>23</v>
      </c>
      <c r="E3" s="30" t="s">
        <v>24</v>
      </c>
      <c r="F3" s="30" t="s">
        <v>25</v>
      </c>
      <c r="G3" s="30" t="s">
        <v>26</v>
      </c>
      <c r="H3" s="30" t="s">
        <v>27</v>
      </c>
      <c r="I3" s="30" t="s">
        <v>28</v>
      </c>
      <c r="J3" s="30" t="s">
        <v>29</v>
      </c>
      <c r="K3" s="30" t="s">
        <v>30</v>
      </c>
      <c r="L3" s="30" t="s">
        <v>45</v>
      </c>
      <c r="M3" s="30" t="s">
        <v>46</v>
      </c>
      <c r="N3" s="13" t="s">
        <v>47</v>
      </c>
      <c r="O3" s="13" t="s">
        <v>82</v>
      </c>
      <c r="P3" s="13" t="s">
        <v>48</v>
      </c>
      <c r="Q3" s="13" t="s">
        <v>83</v>
      </c>
    </row>
    <row r="4" spans="1:17" s="18" customFormat="1" x14ac:dyDescent="0.25">
      <c r="A4" s="2" t="s">
        <v>17</v>
      </c>
      <c r="B4" s="38" t="s">
        <v>92</v>
      </c>
      <c r="C4" s="32">
        <v>5</v>
      </c>
      <c r="D4" s="39">
        <v>1</v>
      </c>
      <c r="E4" s="32">
        <v>6</v>
      </c>
      <c r="F4" s="32">
        <v>2</v>
      </c>
      <c r="G4" s="32">
        <v>5</v>
      </c>
      <c r="H4" s="32">
        <v>2</v>
      </c>
      <c r="I4" s="32">
        <v>6</v>
      </c>
      <c r="J4" s="32">
        <v>2</v>
      </c>
      <c r="K4" s="32">
        <v>6</v>
      </c>
      <c r="L4" s="32">
        <v>5</v>
      </c>
      <c r="M4" s="46">
        <v>6</v>
      </c>
      <c r="N4" s="46">
        <v>3</v>
      </c>
      <c r="O4" s="46">
        <v>3</v>
      </c>
      <c r="P4" s="46">
        <v>3</v>
      </c>
      <c r="Q4" s="46">
        <v>3</v>
      </c>
    </row>
    <row r="5" spans="1:17" s="18" customFormat="1" x14ac:dyDescent="0.25">
      <c r="A5" s="2" t="s">
        <v>18</v>
      </c>
      <c r="B5" s="38" t="s">
        <v>93</v>
      </c>
      <c r="C5" s="32">
        <v>4</v>
      </c>
      <c r="D5" s="32">
        <v>2</v>
      </c>
      <c r="E5" s="32">
        <v>4</v>
      </c>
      <c r="F5" s="32">
        <v>2</v>
      </c>
      <c r="G5" s="32">
        <v>2</v>
      </c>
      <c r="H5" s="32">
        <v>2</v>
      </c>
      <c r="I5" s="32">
        <v>5</v>
      </c>
      <c r="J5" s="32">
        <v>4</v>
      </c>
      <c r="K5" s="32">
        <v>6</v>
      </c>
      <c r="L5" s="32">
        <v>4</v>
      </c>
      <c r="M5" s="47">
        <v>3</v>
      </c>
      <c r="N5" s="47">
        <v>3</v>
      </c>
      <c r="O5" s="47">
        <v>2</v>
      </c>
      <c r="P5" s="47">
        <v>3</v>
      </c>
      <c r="Q5" s="47">
        <v>3</v>
      </c>
    </row>
    <row r="6" spans="1:17" s="18" customFormat="1" x14ac:dyDescent="0.25">
      <c r="A6" s="2" t="s">
        <v>19</v>
      </c>
      <c r="B6" s="38" t="s">
        <v>94</v>
      </c>
      <c r="C6" s="32">
        <v>3</v>
      </c>
      <c r="D6" s="32">
        <v>2</v>
      </c>
      <c r="E6" s="32">
        <v>4</v>
      </c>
      <c r="F6" s="32">
        <v>2</v>
      </c>
      <c r="G6" s="32">
        <v>2</v>
      </c>
      <c r="H6" s="32">
        <v>4</v>
      </c>
      <c r="I6" s="32">
        <v>4</v>
      </c>
      <c r="J6" s="32">
        <v>5</v>
      </c>
      <c r="K6" s="32">
        <v>3</v>
      </c>
      <c r="L6" s="32">
        <v>5</v>
      </c>
      <c r="M6" s="47">
        <v>6</v>
      </c>
      <c r="N6" s="47">
        <v>4</v>
      </c>
      <c r="O6" s="47">
        <v>4</v>
      </c>
      <c r="P6" s="47">
        <v>4</v>
      </c>
      <c r="Q6" s="47">
        <v>4</v>
      </c>
    </row>
    <row r="7" spans="1:17" s="18" customFormat="1" x14ac:dyDescent="0.25">
      <c r="A7" s="2" t="s">
        <v>20</v>
      </c>
      <c r="B7" s="38" t="s">
        <v>95</v>
      </c>
      <c r="C7" s="32">
        <v>2</v>
      </c>
      <c r="D7" s="32">
        <v>3</v>
      </c>
      <c r="E7" s="32">
        <v>3</v>
      </c>
      <c r="F7" s="32">
        <v>4</v>
      </c>
      <c r="G7" s="32">
        <v>2</v>
      </c>
      <c r="H7" s="32">
        <v>2</v>
      </c>
      <c r="I7" s="32">
        <v>4</v>
      </c>
      <c r="J7" s="32">
        <v>5</v>
      </c>
      <c r="K7" s="32">
        <v>5</v>
      </c>
      <c r="L7" s="32">
        <v>5</v>
      </c>
      <c r="M7" s="47">
        <v>3</v>
      </c>
      <c r="N7" s="47">
        <v>3</v>
      </c>
      <c r="O7" s="47">
        <v>3</v>
      </c>
      <c r="P7" s="47">
        <v>3</v>
      </c>
      <c r="Q7" s="47">
        <v>3</v>
      </c>
    </row>
    <row r="8" spans="1:17" s="18" customFormat="1" ht="13" thickBot="1" x14ac:dyDescent="0.3">
      <c r="A8" s="19" t="s">
        <v>21</v>
      </c>
      <c r="B8" s="62" t="s">
        <v>96</v>
      </c>
      <c r="C8" s="33">
        <v>3</v>
      </c>
      <c r="D8" s="33">
        <v>2</v>
      </c>
      <c r="E8" s="33">
        <v>2</v>
      </c>
      <c r="F8" s="33">
        <v>1</v>
      </c>
      <c r="G8" s="33">
        <v>3</v>
      </c>
      <c r="H8" s="33">
        <v>2</v>
      </c>
      <c r="I8" s="33">
        <v>4</v>
      </c>
      <c r="J8" s="33">
        <v>5</v>
      </c>
      <c r="K8" s="33">
        <v>4</v>
      </c>
      <c r="L8" s="33">
        <v>4</v>
      </c>
      <c r="M8" s="48">
        <v>4</v>
      </c>
      <c r="N8" s="48">
        <v>2</v>
      </c>
      <c r="O8" s="48">
        <v>2</v>
      </c>
      <c r="P8" s="48">
        <v>2</v>
      </c>
      <c r="Q8" s="48">
        <v>2</v>
      </c>
    </row>
    <row r="9" spans="1:17" ht="13" thickBot="1" x14ac:dyDescent="0.3">
      <c r="C9" s="18"/>
      <c r="D9" s="18"/>
      <c r="E9" s="18"/>
      <c r="F9" s="18"/>
      <c r="G9" s="18"/>
      <c r="H9" s="18"/>
      <c r="I9" s="18"/>
      <c r="J9" s="18"/>
      <c r="K9" s="18"/>
      <c r="L9" s="18"/>
      <c r="M9" s="18"/>
    </row>
    <row r="10" spans="1:17" s="18" customFormat="1" ht="13" x14ac:dyDescent="0.3">
      <c r="A10" s="24"/>
      <c r="B10" s="24" t="s">
        <v>43</v>
      </c>
      <c r="C10" s="50">
        <f>AVERAGE(C4:C8)</f>
        <v>3.4</v>
      </c>
      <c r="D10" s="50">
        <f>AVERAGE(D4:D8)</f>
        <v>2</v>
      </c>
      <c r="E10" s="50">
        <f t="shared" ref="E10:N10" si="0">AVERAGE(E4:E8)</f>
        <v>3.8</v>
      </c>
      <c r="F10" s="50">
        <f t="shared" si="0"/>
        <v>2.2000000000000002</v>
      </c>
      <c r="G10" s="50">
        <f t="shared" si="0"/>
        <v>2.8</v>
      </c>
      <c r="H10" s="50">
        <f t="shared" si="0"/>
        <v>2.4</v>
      </c>
      <c r="I10" s="50">
        <f t="shared" si="0"/>
        <v>4.5999999999999996</v>
      </c>
      <c r="J10" s="50">
        <f t="shared" si="0"/>
        <v>4.2</v>
      </c>
      <c r="K10" s="50">
        <f t="shared" si="0"/>
        <v>4.8</v>
      </c>
      <c r="L10" s="50">
        <f t="shared" si="0"/>
        <v>4.5999999999999996</v>
      </c>
      <c r="M10" s="50">
        <f t="shared" si="0"/>
        <v>4.4000000000000004</v>
      </c>
      <c r="N10" s="50">
        <f t="shared" si="0"/>
        <v>3</v>
      </c>
      <c r="O10" s="50">
        <f t="shared" ref="O10" si="1">AVERAGE(O4:O8)</f>
        <v>2.8</v>
      </c>
      <c r="P10" s="50">
        <f>AVERAGE(P4:P8)</f>
        <v>3</v>
      </c>
      <c r="Q10" s="50">
        <f>AVERAGE(Q4:Q8)</f>
        <v>3</v>
      </c>
    </row>
    <row r="11" spans="1:17" s="18" customFormat="1" ht="13.5" thickBot="1" x14ac:dyDescent="0.35">
      <c r="A11" s="24"/>
      <c r="B11" s="24" t="s">
        <v>5</v>
      </c>
      <c r="C11" s="34">
        <f>STDEV(C4:C8)</f>
        <v>1.1401754250991383</v>
      </c>
      <c r="D11" s="34">
        <f t="shared" ref="D11:N11" si="2">STDEV(D4:D8)</f>
        <v>0.70710678118654757</v>
      </c>
      <c r="E11" s="34">
        <f t="shared" si="2"/>
        <v>1.4832396974191324</v>
      </c>
      <c r="F11" s="34">
        <f t="shared" si="2"/>
        <v>1.0954451150103324</v>
      </c>
      <c r="G11" s="34">
        <f t="shared" si="2"/>
        <v>1.3038404810405295</v>
      </c>
      <c r="H11" s="34">
        <f t="shared" si="2"/>
        <v>0.89442719099991574</v>
      </c>
      <c r="I11" s="34">
        <f t="shared" si="2"/>
        <v>0.8944271909999163</v>
      </c>
      <c r="J11" s="34">
        <f t="shared" si="2"/>
        <v>1.3038404810405295</v>
      </c>
      <c r="K11" s="34">
        <f t="shared" si="2"/>
        <v>1.3038404810405295</v>
      </c>
      <c r="L11" s="34">
        <f t="shared" si="2"/>
        <v>0.54772255750516674</v>
      </c>
      <c r="M11" s="34">
        <f t="shared" si="2"/>
        <v>1.5165750888103104</v>
      </c>
      <c r="N11" s="34">
        <f t="shared" si="2"/>
        <v>0.70710678118654757</v>
      </c>
      <c r="O11" s="34">
        <f t="shared" ref="O11" si="3">STDEV(O4:O8)</f>
        <v>0.83666002653407512</v>
      </c>
      <c r="P11" s="34">
        <f>STDEV(P4:P8)</f>
        <v>0.70710678118654757</v>
      </c>
      <c r="Q11" s="34">
        <f>STDEV(Q4:Q8)</f>
        <v>0.70710678118654757</v>
      </c>
    </row>
  </sheetData>
  <phoneticPr fontId="0" type="noConversion"/>
  <pageMargins left="0.75" right="0.75" top="1" bottom="1" header="0.4921259845" footer="0.4921259845"/>
  <pageSetup paperSize="9" orientation="portrait"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Background Q</vt:lpstr>
      <vt:lpstr>Task Success</vt:lpstr>
      <vt:lpstr>Negative Findings (Problems)</vt:lpstr>
      <vt:lpstr>Positive Findings</vt:lpstr>
      <vt:lpstr>Feedback 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kandrews</dc:creator>
  <cp:lastModifiedBy>Sven Jansen</cp:lastModifiedBy>
  <dcterms:created xsi:type="dcterms:W3CDTF">2005-01-12T10:04:19Z</dcterms:created>
  <dcterms:modified xsi:type="dcterms:W3CDTF">2026-05-17T22:20:00Z</dcterms:modified>
</cp:coreProperties>
</file>