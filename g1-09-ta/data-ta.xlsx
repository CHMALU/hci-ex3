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Uni\HCI\hci-ex3\g1-09-ta\"/>
    </mc:Choice>
  </mc:AlternateContent>
  <xr:revisionPtr revIDLastSave="0" documentId="13_ncr:1_{D2EE88A9-A081-42E5-90C7-7784388F1C5E}" xr6:coauthVersionLast="47" xr6:coauthVersionMax="47" xr10:uidLastSave="{00000000-0000-0000-0000-000000000000}"/>
  <bookViews>
    <workbookView xWindow="-120" yWindow="-120" windowWidth="29040" windowHeight="15720" tabRatio="503" activeTab="1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6" l="1"/>
  <c r="K6" i="5"/>
  <c r="K7" i="5"/>
  <c r="K8" i="5"/>
  <c r="T12" i="3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5" i="6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<sst xmlns="http://schemas.openxmlformats.org/spreadsheetml/2006/main" count="240" uniqueCount="147">
  <si>
    <t>Browser</t>
  </si>
  <si>
    <t>Firefox</t>
  </si>
  <si>
    <t>Sum</t>
  </si>
  <si>
    <t>Percent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</si>
  <si>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</si>
  <si>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</si>
  <si>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</si>
  <si>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</si>
  <si>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</si>
  <si>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</si>
  <si>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</si>
  <si>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</si>
  <si>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</si>
  <si>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</si>
  <si>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</si>
  <si>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</si>
  <si>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</si>
  <si>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</si>
  <si>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</si>
  <si>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</si>
  <si>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</si>
  <si>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</si>
  <si>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</si>
  <si>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</si>
  <si>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</si>
  <si>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</si>
  <si>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</si>
  <si>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</si>
  <si>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</si>
  <si>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</si>
  <si>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</si>
  <si>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</si>
  <si>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</si>
  <si>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</si>
  <si>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</si>
  <si>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</si>
  <si>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</si>
  <si>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</si>
  <si>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</si>
  <si>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</si>
  <si>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</si>
  <si>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</si>
  <si>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</si>
  <si>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</si>
  <si>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</si>
  <si>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</si>
  <si>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</si>
  <si>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</si>
  <si>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</si>
  <si>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</si>
  <si>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</si>
  <si>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</si>
  <si>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</si>
  <si>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</si>
  <si>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</si>
  <si>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</si>
  <si>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</si>
  <si>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</si>
  <si>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</si>
  <si>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</si>
  <si>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</si>
  <si>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</si>
  <si>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</si>
  <si>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</si>
  <si>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</si>
  <si>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</si>
  <si>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</si>
  <si>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</si>
  <si>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</si>
  <si>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</si>
  <si>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</si>
  <si>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</si>
  <si>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</si>
  <si>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</si>
  <si>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</si>
  <si>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</si>
  <si>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</si>
  <si>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</si>
  <si>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</si>
  <si>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</si>
  <si>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</si>
  <si>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</si>
  <si>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</si>
  <si>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</si>
  <si>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</si>
  <si>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</si>
  <si>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</si>
  <si>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</si>
  <si>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</si>
  <si>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</si>
  <si>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</si>
  <si>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</si>
  <si>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</si>
  <si>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</si>
  <si>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</si>
  <si>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</si>
  <si>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</si>
  <si>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</si>
  <si>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</si>
  <si>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</si>
  <si>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</si>
  <si>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</si>
  <si>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</si>
  <si>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</si>
  <si>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</si>
  <si>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</si>
  <si>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</si>
  <si>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</si>
  <si>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</si>
  <si>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</si>
  <si>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</si>
  <si>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</si>
  <si>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</si>
  <si>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</si>
  <si>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</si>
  <si>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</si>
  <si>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</si>
  <si>
    <t>2 Find product</t>
  </si>
  <si>
    <t>3 Best of one</t>
  </si>
  <si>
    <t>4 Build PC</t>
  </si>
  <si>
    <t>5 Account</t>
  </si>
  <si>
    <t>The interface element "Spare mit Rabattcodes" remains in German even when the website is set to English</t>
  </si>
  <si>
    <t>Wrong Language Text</t>
  </si>
  <si>
    <t>TP1 00:02:00</t>
  </si>
  <si>
    <t>SJ</t>
  </si>
  <si>
    <t>LR</t>
  </si>
  <si>
    <t>DC</t>
  </si>
  <si>
    <t>FM</t>
  </si>
  <si>
    <t>Homepage → scroll down to category "Spare mit Rabattcodes"</t>
  </si>
  <si>
    <t>When the user searches for a MacBook, they note that the search results appear visually similar at first glance</t>
  </si>
  <si>
    <t>Visually Similar Search Results</t>
  </si>
  <si>
    <t>TP1 00:05:31</t>
  </si>
  <si>
    <t>Search for "apple laptop 128gb ram"</t>
  </si>
  <si>
    <t>Comparison Labels Overlap Content</t>
  </si>
  <si>
    <t>Scrolling horizontally within the comparison element causes specification parameters to become misaligned and overlap details</t>
  </si>
  <si>
    <t>TP1 00:10:58</t>
  </si>
  <si>
    <t>Search for "rx 9060 xt"  → click on a graphics card → Alternatives → Compare all alternatives</t>
  </si>
  <si>
    <t>The user is confused about the meaning of the green number indicators</t>
  </si>
  <si>
    <t>Unclear Meaning of Green Details</t>
  </si>
  <si>
    <t>TP1 00:11:28</t>
  </si>
  <si>
    <t>The user is able to quickly change the website language without any difficulties</t>
  </si>
  <si>
    <t>TP1 00:00:30</t>
  </si>
  <si>
    <t>Homepage</t>
  </si>
  <si>
    <t>The user finds the website easy to navigate for people who are unfamiliar</t>
  </si>
  <si>
    <t>Easy Navigation for New Users</t>
  </si>
  <si>
    <t>Simple Language Switch</t>
  </si>
  <si>
    <t>TP1 00:02:23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</si>
</sst>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0"/>
      <name val="Arial"/>
    </font>
    <font>
      <u/>
      <sz val="10"/>
      <color indexed="12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79">
    <xf numFmtId="0" fontId="0" fillId="0" borderId="0" xfId="0"/>
    <xf numFmtId="0" fontId="2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3" fillId="0" borderId="0" xfId="0" applyFont="1"/>
    <xf numFmtId="0" fontId="2" fillId="2" borderId="4" xfId="0" applyFont="1" applyFill="1" applyBorder="1"/>
    <xf numFmtId="0" fontId="2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1" fontId="0" fillId="3" borderId="3" xfId="0" applyNumberFormat="1" applyFill="1" applyBorder="1"/>
    <xf numFmtId="0" fontId="3" fillId="3" borderId="20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2" fillId="2" borderId="23" xfId="0" applyFont="1" applyFill="1" applyBorder="1"/>
    <xf numFmtId="0" fontId="2" fillId="2" borderId="24" xfId="0" applyFont="1" applyFill="1" applyBorder="1"/>
    <xf numFmtId="0" fontId="2" fillId="2" borderId="25" xfId="0" applyFont="1" applyFill="1" applyBorder="1"/>
    <xf numFmtId="0" fontId="4" fillId="0" borderId="3" xfId="0" applyFont="1" applyBorder="1"/>
    <xf numFmtId="0" fontId="4" fillId="0" borderId="22" xfId="0" applyFont="1" applyBorder="1" applyAlignment="1">
      <alignment horizontal="center"/>
    </xf>
    <xf numFmtId="2" fontId="4" fillId="0" borderId="0" xfId="0" applyNumberFormat="1" applyFont="1"/>
    <xf numFmtId="0" fontId="4" fillId="0" borderId="13" xfId="0" applyFont="1" applyBorder="1"/>
    <xf numFmtId="0" fontId="4" fillId="0" borderId="0" xfId="0" applyFont="1"/>
    <xf numFmtId="0" fontId="4" fillId="0" borderId="14" xfId="0" applyFont="1" applyBorder="1"/>
    <xf numFmtId="1" fontId="0" fillId="3" borderId="26" xfId="0" applyNumberFormat="1" applyFill="1" applyBorder="1"/>
    <xf numFmtId="164" fontId="3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3" fillId="3" borderId="26" xfId="0" applyNumberFormat="1" applyFont="1" applyFill="1" applyBorder="1" applyAlignment="1">
      <alignment horizontal="center"/>
    </xf>
    <xf numFmtId="164" fontId="4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3" fillId="0" borderId="31" xfId="0" applyFont="1" applyBorder="1"/>
    <xf numFmtId="0" fontId="3" fillId="0" borderId="33" xfId="0" applyFont="1" applyBorder="1" applyAlignment="1">
      <alignment horizontal="right"/>
    </xf>
    <xf numFmtId="0" fontId="3" fillId="0" borderId="32" xfId="0" applyFont="1" applyBorder="1"/>
    <xf numFmtId="0" fontId="4" fillId="0" borderId="19" xfId="0" applyFont="1" applyBorder="1"/>
    <xf numFmtId="0" fontId="4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vertical="top" wrapText="1"/>
    </xf>
    <xf numFmtId="0" fontId="1" fillId="0" borderId="0" xfId="1" applyAlignment="1" applyProtection="1">
      <alignment vertical="top" wrapText="1"/>
    </xf>
    <xf numFmtId="0" fontId="2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2" fillId="2" borderId="11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/>
    <xf numFmtId="0" fontId="0" fillId="0" borderId="7" xfId="0" applyBorder="1"/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workbookViewId="0">
      <selection activeCell="C19" sqref="C19"/>
    </sheetView>
  </sheetViews>
  <sheetFormatPr baseColWidth="10" defaultColWidth="11.42578125" defaultRowHeight="12.75" x14ac:dyDescent="0.2"/>
  <cols>
    <col min="1" max="1" width="11.5703125" customWidth="1"/>
    <col min="2" max="2" width="12.140625" customWidth="1"/>
    <col min="3" max="3" width="11.28515625" customWidth="1"/>
    <col min="4" max="4" width="5.85546875" bestFit="1" customWidth="1"/>
    <col min="5" max="5" width="17.5703125" bestFit="1" customWidth="1"/>
    <col min="6" max="6" width="15.28515625" bestFit="1" customWidth="1"/>
    <col min="7" max="7" width="23" customWidth="1"/>
    <col min="8" max="8" width="13" customWidth="1"/>
    <col min="9" max="9" width="6.7109375" customWidth="1"/>
    <col min="10" max="10" width="7.85546875" customWidth="1"/>
    <col min="11" max="11" width="13.5703125" customWidth="1"/>
    <col min="12" max="12" width="6.28515625" customWidth="1"/>
    <col min="13" max="13" width="7.140625" customWidth="1"/>
    <col min="14" max="14" width="13.5703125" customWidth="1"/>
    <col min="15" max="15" width="6.28515625" customWidth="1"/>
    <col min="16" max="16" width="7.5703125" customWidth="1"/>
    <col min="17" max="17" width="13.42578125" customWidth="1"/>
    <col min="18" max="18" width="12.7109375" customWidth="1"/>
    <col min="19" max="19" width="14" customWidth="1"/>
    <col min="20" max="20" width="8.28515625" customWidth="1"/>
    <col min="21" max="21" width="15.28515625" customWidth="1"/>
    <col min="22" max="22" width="13.42578125" customWidth="1"/>
    <col min="23" max="23" width="13.5703125" customWidth="1"/>
    <col min="24" max="24" width="13.85546875" customWidth="1"/>
    <col min="25" max="25" width="13.140625" customWidth="1"/>
    <col min="26" max="26" width="22.42578125" customWidth="1"/>
  </cols>
  <sheetData>
    <row r="1" spans="1:26" x14ac:dyDescent="0.2">
      <c r="A1" s="6" t="s">
        <v>41</v>
      </c>
    </row>
    <row r="2" spans="1:26" ht="13.5" thickBot="1" x14ac:dyDescent="0.25"/>
    <row r="3" spans="1:26" s="6" customFormat="1" x14ac:dyDescent="0.2">
      <c r="C3" s="9" t="s">
        <v>49</v>
      </c>
      <c r="D3" s="10"/>
      <c r="E3" s="10"/>
      <c r="F3" s="9" t="s">
        <v>9</v>
      </c>
      <c r="G3" s="11"/>
      <c r="H3" s="9" t="s">
        <v>56</v>
      </c>
      <c r="I3" s="10"/>
      <c r="J3" s="10"/>
      <c r="K3" s="9" t="s">
        <v>55</v>
      </c>
      <c r="L3" s="10"/>
      <c r="M3" s="10"/>
      <c r="N3" s="9" t="s">
        <v>64</v>
      </c>
      <c r="O3" s="10"/>
      <c r="P3" s="10"/>
      <c r="Q3" s="9" t="s">
        <v>50</v>
      </c>
      <c r="R3" s="10"/>
      <c r="S3" s="10"/>
      <c r="T3" s="10"/>
      <c r="U3" s="76" t="s">
        <v>72</v>
      </c>
      <c r="V3" s="77"/>
      <c r="W3" s="78"/>
      <c r="X3" s="76" t="s">
        <v>13</v>
      </c>
      <c r="Y3" s="78"/>
      <c r="Z3" s="11"/>
    </row>
    <row r="4" spans="1:26" s="1" customFormat="1" ht="13.5" thickBot="1" x14ac:dyDescent="0.25">
      <c r="A4" s="31" t="s">
        <v>16</v>
      </c>
      <c r="B4" s="3" t="s">
        <v>6</v>
      </c>
      <c r="C4" s="7" t="s">
        <v>77</v>
      </c>
      <c r="D4" s="72" t="s">
        <v>7</v>
      </c>
      <c r="E4" s="12" t="s">
        <v>8</v>
      </c>
      <c r="F4" s="7" t="s">
        <v>78</v>
      </c>
      <c r="G4" s="8" t="s">
        <v>86</v>
      </c>
      <c r="H4" s="12" t="s">
        <v>10</v>
      </c>
      <c r="I4" s="71" t="s">
        <v>57</v>
      </c>
      <c r="J4" s="72" t="s">
        <v>58</v>
      </c>
      <c r="K4" s="12" t="s">
        <v>10</v>
      </c>
      <c r="L4" s="71" t="s">
        <v>57</v>
      </c>
      <c r="M4" s="72" t="s">
        <v>58</v>
      </c>
      <c r="N4" s="12" t="s">
        <v>10</v>
      </c>
      <c r="O4" s="71" t="s">
        <v>57</v>
      </c>
      <c r="P4" s="72" t="s">
        <v>58</v>
      </c>
      <c r="Q4" s="13" t="s">
        <v>51</v>
      </c>
      <c r="R4" s="13" t="s">
        <v>12</v>
      </c>
      <c r="S4" s="13" t="s">
        <v>0</v>
      </c>
      <c r="T4" s="75" t="s">
        <v>58</v>
      </c>
      <c r="U4" s="13" t="s">
        <v>90</v>
      </c>
      <c r="V4" s="13" t="s">
        <v>89</v>
      </c>
      <c r="W4" s="13" t="s">
        <v>91</v>
      </c>
      <c r="X4" s="13" t="s">
        <v>73</v>
      </c>
      <c r="Y4" s="13" t="s">
        <v>74</v>
      </c>
      <c r="Z4" s="14" t="s">
        <v>75</v>
      </c>
    </row>
    <row r="5" spans="1:26" x14ac:dyDescent="0.2">
      <c r="A5" s="2" t="s">
        <v>17</v>
      </c>
      <c r="B5" s="38" t="s">
        <v>92</v>
      </c>
      <c r="C5" s="73" t="s">
        <v>85</v>
      </c>
      <c r="D5" s="52">
        <v>19</v>
      </c>
      <c r="E5" s="38" t="s">
        <v>15</v>
      </c>
      <c r="F5" s="4" t="s">
        <v>87</v>
      </c>
      <c r="G5" s="4" t="s">
        <v>97</v>
      </c>
      <c r="H5" s="41" t="s">
        <v>11</v>
      </c>
      <c r="I5" s="52">
        <v>5</v>
      </c>
      <c r="J5" s="52">
        <v>7</v>
      </c>
      <c r="K5" s="41" t="s">
        <v>105</v>
      </c>
      <c r="L5" s="52">
        <v>15</v>
      </c>
      <c r="M5" s="52">
        <v>28</v>
      </c>
      <c r="N5" s="41" t="s">
        <v>65</v>
      </c>
      <c r="O5" s="52">
        <v>10</v>
      </c>
      <c r="P5" s="52">
        <v>28</v>
      </c>
      <c r="Q5" s="42" t="s">
        <v>52</v>
      </c>
      <c r="R5" s="16" t="s">
        <v>67</v>
      </c>
      <c r="S5" t="s">
        <v>68</v>
      </c>
      <c r="T5" s="16">
        <v>4</v>
      </c>
      <c r="U5" s="43" t="s">
        <v>109</v>
      </c>
      <c r="V5" s="43" t="s">
        <v>111</v>
      </c>
      <c r="W5" s="43" t="s">
        <v>115</v>
      </c>
      <c r="X5" s="43" t="s">
        <v>71</v>
      </c>
      <c r="Y5" s="43" t="s">
        <v>71</v>
      </c>
      <c r="Z5" s="43" t="s">
        <v>116</v>
      </c>
    </row>
    <row r="6" spans="1:26" x14ac:dyDescent="0.2">
      <c r="A6" s="2" t="s">
        <v>18</v>
      </c>
      <c r="B6" s="38" t="s">
        <v>93</v>
      </c>
      <c r="C6" s="73" t="s">
        <v>85</v>
      </c>
      <c r="D6" s="52">
        <v>24</v>
      </c>
      <c r="E6" s="38" t="s">
        <v>15</v>
      </c>
      <c r="F6" s="4" t="s">
        <v>88</v>
      </c>
      <c r="G6" s="4" t="s">
        <v>98</v>
      </c>
      <c r="H6" s="41" t="s">
        <v>11</v>
      </c>
      <c r="I6" s="52">
        <v>10</v>
      </c>
      <c r="J6" s="52">
        <v>35</v>
      </c>
      <c r="K6" s="15" t="s">
        <v>105</v>
      </c>
      <c r="L6" s="52">
        <v>15</v>
      </c>
      <c r="M6" s="52">
        <v>25</v>
      </c>
      <c r="N6" s="15" t="s">
        <v>105</v>
      </c>
      <c r="O6" s="52">
        <v>12</v>
      </c>
      <c r="P6" s="52">
        <v>25</v>
      </c>
      <c r="Q6" t="s">
        <v>53</v>
      </c>
      <c r="R6" s="4" t="s">
        <v>67</v>
      </c>
      <c r="S6" s="4" t="s">
        <v>68</v>
      </c>
      <c r="T6" s="4">
        <v>15</v>
      </c>
      <c r="U6" s="43" t="s">
        <v>109</v>
      </c>
      <c r="V6" s="4" t="s">
        <v>111</v>
      </c>
      <c r="W6" s="4" t="s">
        <v>115</v>
      </c>
      <c r="X6" s="43" t="s">
        <v>71</v>
      </c>
      <c r="Y6" s="4" t="s">
        <v>71</v>
      </c>
      <c r="Z6" s="43" t="s">
        <v>116</v>
      </c>
    </row>
    <row r="7" spans="1:26" x14ac:dyDescent="0.2">
      <c r="A7" s="2" t="s">
        <v>19</v>
      </c>
      <c r="B7" s="38" t="s">
        <v>94</v>
      </c>
      <c r="C7" s="73" t="s">
        <v>85</v>
      </c>
      <c r="D7" s="52">
        <v>19</v>
      </c>
      <c r="E7" s="38" t="s">
        <v>15</v>
      </c>
      <c r="F7" s="4" t="s">
        <v>103</v>
      </c>
      <c r="G7" s="4" t="s">
        <v>99</v>
      </c>
      <c r="H7" s="15" t="s">
        <v>11</v>
      </c>
      <c r="I7" s="52">
        <v>8</v>
      </c>
      <c r="J7" s="52" t="s">
        <v>104</v>
      </c>
      <c r="K7" s="15" t="s">
        <v>65</v>
      </c>
      <c r="L7" s="52">
        <v>30</v>
      </c>
      <c r="M7" s="52">
        <v>60</v>
      </c>
      <c r="N7" s="15" t="s">
        <v>105</v>
      </c>
      <c r="O7" s="52">
        <v>12</v>
      </c>
      <c r="P7" s="52">
        <v>60</v>
      </c>
      <c r="Q7" t="s">
        <v>54</v>
      </c>
      <c r="R7" s="4" t="s">
        <v>106</v>
      </c>
      <c r="S7" s="4" t="s">
        <v>68</v>
      </c>
      <c r="T7" s="4">
        <v>20</v>
      </c>
      <c r="U7" s="43" t="s">
        <v>109</v>
      </c>
      <c r="V7" s="4" t="s">
        <v>112</v>
      </c>
      <c r="W7" s="4" t="s">
        <v>115</v>
      </c>
      <c r="X7" s="43" t="s">
        <v>71</v>
      </c>
      <c r="Y7" s="4" t="s">
        <v>71</v>
      </c>
      <c r="Z7" s="43" t="s">
        <v>116</v>
      </c>
    </row>
    <row r="8" spans="1:26" x14ac:dyDescent="0.2">
      <c r="A8" s="2" t="s">
        <v>20</v>
      </c>
      <c r="B8" s="38" t="s">
        <v>95</v>
      </c>
      <c r="C8" s="73" t="s">
        <v>84</v>
      </c>
      <c r="D8" s="52">
        <v>29</v>
      </c>
      <c r="E8" s="38" t="s">
        <v>15</v>
      </c>
      <c r="F8" s="4" t="s">
        <v>103</v>
      </c>
      <c r="G8" s="4" t="s">
        <v>100</v>
      </c>
      <c r="H8" s="15" t="s">
        <v>11</v>
      </c>
      <c r="I8" s="52">
        <v>15</v>
      </c>
      <c r="J8" s="52">
        <v>55</v>
      </c>
      <c r="K8" s="15" t="s">
        <v>59</v>
      </c>
      <c r="L8" s="52">
        <v>0</v>
      </c>
      <c r="M8" s="52">
        <v>21</v>
      </c>
      <c r="N8" s="15" t="s">
        <v>65</v>
      </c>
      <c r="O8" s="52">
        <v>14</v>
      </c>
      <c r="P8" s="52">
        <v>21</v>
      </c>
      <c r="Q8" t="s">
        <v>53</v>
      </c>
      <c r="R8" s="4" t="s">
        <v>67</v>
      </c>
      <c r="S8" s="4" t="s">
        <v>1</v>
      </c>
      <c r="T8" s="4">
        <v>30</v>
      </c>
      <c r="U8" s="43" t="s">
        <v>109</v>
      </c>
      <c r="V8" s="4" t="s">
        <v>113</v>
      </c>
      <c r="W8" s="4" t="s">
        <v>115</v>
      </c>
      <c r="X8" s="43" t="s">
        <v>71</v>
      </c>
      <c r="Y8" s="4" t="s">
        <v>71</v>
      </c>
      <c r="Z8" s="43" t="s">
        <v>116</v>
      </c>
    </row>
    <row r="9" spans="1:26" x14ac:dyDescent="0.2">
      <c r="A9" s="19" t="s">
        <v>21</v>
      </c>
      <c r="B9" s="62" t="s">
        <v>96</v>
      </c>
      <c r="C9" s="74" t="s">
        <v>84</v>
      </c>
      <c r="D9" s="53">
        <v>24</v>
      </c>
      <c r="E9" s="38" t="s">
        <v>15</v>
      </c>
      <c r="F9" s="20" t="s">
        <v>88</v>
      </c>
      <c r="G9" s="20" t="s">
        <v>101</v>
      </c>
      <c r="H9" s="21" t="s">
        <v>102</v>
      </c>
      <c r="I9" s="54">
        <v>15</v>
      </c>
      <c r="J9" s="54">
        <v>56</v>
      </c>
      <c r="K9" s="21" t="s">
        <v>59</v>
      </c>
      <c r="L9" s="54">
        <v>0</v>
      </c>
      <c r="M9" s="54">
        <v>14</v>
      </c>
      <c r="N9" s="21" t="s">
        <v>105</v>
      </c>
      <c r="O9" s="54">
        <v>12</v>
      </c>
      <c r="P9" s="54">
        <v>14</v>
      </c>
      <c r="Q9" s="22" t="s">
        <v>53</v>
      </c>
      <c r="R9" s="20" t="s">
        <v>107</v>
      </c>
      <c r="S9" s="22" t="s">
        <v>108</v>
      </c>
      <c r="T9" s="20">
        <v>28</v>
      </c>
      <c r="U9" s="20" t="s">
        <v>110</v>
      </c>
      <c r="V9" s="20" t="s">
        <v>114</v>
      </c>
      <c r="W9" s="20" t="s">
        <v>115</v>
      </c>
      <c r="X9" s="61" t="s">
        <v>71</v>
      </c>
      <c r="Y9" s="20" t="s">
        <v>71</v>
      </c>
      <c r="Z9" s="43" t="s">
        <v>116</v>
      </c>
    </row>
    <row r="10" spans="1:26" ht="13.5" thickBot="1" x14ac:dyDescent="0.25">
      <c r="I10" s="18"/>
      <c r="J10" s="18"/>
      <c r="L10" s="18"/>
      <c r="M10" s="18"/>
      <c r="O10" s="18"/>
      <c r="P10" s="18"/>
    </row>
    <row r="11" spans="1:26" x14ac:dyDescent="0.2">
      <c r="A11" s="24"/>
      <c r="B11" s="26" t="s">
        <v>43</v>
      </c>
      <c r="C11" s="5"/>
      <c r="D11" s="51">
        <f>AVERAGE(D5:D9)</f>
        <v>23</v>
      </c>
      <c r="E11" s="17"/>
      <c r="F11" s="17"/>
      <c r="G11" s="17"/>
      <c r="H11" s="40" t="s">
        <v>81</v>
      </c>
      <c r="I11" s="45">
        <f>AVERAGE(I5:I9)</f>
        <v>10.6</v>
      </c>
      <c r="J11" s="45">
        <f>AVERAGE(J5:J9)</f>
        <v>38.25</v>
      </c>
      <c r="K11" s="40" t="s">
        <v>60</v>
      </c>
      <c r="L11" s="45">
        <f>AVERAGE(L5:L9)</f>
        <v>12</v>
      </c>
      <c r="M11" s="45">
        <f>AVERAGE(M5:M9)</f>
        <v>29.6</v>
      </c>
      <c r="N11" s="40" t="s">
        <v>66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69</v>
      </c>
      <c r="T11" s="45">
        <f>AVERAGE(T5:T9)</f>
        <v>19.399999999999999</v>
      </c>
    </row>
    <row r="12" spans="1:26" ht="13.5" thickBot="1" x14ac:dyDescent="0.25">
      <c r="A12" s="24"/>
      <c r="B12" s="26" t="s">
        <v>14</v>
      </c>
      <c r="C12" s="5"/>
      <c r="D12" s="28">
        <f>MEDIAN(D5:D9)</f>
        <v>24</v>
      </c>
      <c r="H12" t="s">
        <v>80</v>
      </c>
      <c r="I12" s="28">
        <f>MEDIAN(I5:I9)</f>
        <v>10</v>
      </c>
      <c r="J12" s="28">
        <f>MEDIAN(J5:J9)</f>
        <v>45</v>
      </c>
      <c r="K12" t="s">
        <v>61</v>
      </c>
      <c r="L12" s="28">
        <f>MEDIAN(L5:L9)</f>
        <v>15</v>
      </c>
      <c r="M12" s="28">
        <f>MEDIAN(M5:M9)</f>
        <v>25</v>
      </c>
      <c r="N12" t="s">
        <v>60</v>
      </c>
      <c r="O12" s="28">
        <f>MEDIAN(O5:O9)</f>
        <v>12</v>
      </c>
      <c r="P12" s="28">
        <f>MEDIAN(P5:P9)</f>
        <v>25</v>
      </c>
      <c r="S12" s="40" t="s">
        <v>70</v>
      </c>
      <c r="T12" s="28">
        <f>MEDIAN(T5:T9)</f>
        <v>20</v>
      </c>
    </row>
    <row r="13" spans="1:26" x14ac:dyDescent="0.2">
      <c r="H13" t="s">
        <v>62</v>
      </c>
      <c r="K13" t="s">
        <v>63</v>
      </c>
      <c r="S13" s="40" t="s">
        <v>79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tabSelected="1" workbookViewId="0">
      <selection activeCell="E26" sqref="E26"/>
    </sheetView>
  </sheetViews>
  <sheetFormatPr baseColWidth="10" defaultColWidth="11.42578125" defaultRowHeight="12.75" x14ac:dyDescent="0.2"/>
  <cols>
    <col min="1" max="1" width="9.5703125" bestFit="1" customWidth="1"/>
    <col min="2" max="2" width="12.140625" style="23" bestFit="1" customWidth="1"/>
    <col min="3" max="3" width="19.7109375" customWidth="1"/>
    <col min="4" max="4" width="15.7109375" customWidth="1"/>
    <col min="5" max="5" width="11.7109375" customWidth="1"/>
    <col min="6" max="7" width="10.7109375" customWidth="1"/>
  </cols>
  <sheetData>
    <row r="1" spans="1:7" x14ac:dyDescent="0.2">
      <c r="A1" s="6" t="s">
        <v>40</v>
      </c>
    </row>
    <row r="3" spans="1:7" x14ac:dyDescent="0.2">
      <c r="C3" s="35" t="s">
        <v>4</v>
      </c>
      <c r="D3" s="36"/>
      <c r="E3" s="37"/>
      <c r="F3" s="25"/>
      <c r="G3" s="25"/>
    </row>
    <row r="4" spans="1:7" ht="13.5" thickBot="1" x14ac:dyDescent="0.25">
      <c r="A4" s="31" t="s">
        <v>16</v>
      </c>
      <c r="B4" s="3" t="s">
        <v>6</v>
      </c>
      <c r="C4" s="25" t="s">
        <v>22</v>
      </c>
      <c r="D4" s="25" t="s">
        <v>117</v>
      </c>
      <c r="E4" s="25" t="s">
        <v>118</v>
      </c>
      <c r="F4" s="25" t="s">
        <v>119</v>
      </c>
      <c r="G4" s="25" t="s">
        <v>120</v>
      </c>
    </row>
    <row r="5" spans="1:7" x14ac:dyDescent="0.2">
      <c r="A5" s="2" t="s">
        <v>17</v>
      </c>
      <c r="B5" s="38" t="s">
        <v>92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">
      <c r="A6" s="2" t="s">
        <v>18</v>
      </c>
      <c r="B6" s="38" t="s">
        <v>93</v>
      </c>
      <c r="C6" s="27">
        <v>1</v>
      </c>
      <c r="D6" s="27">
        <v>0</v>
      </c>
      <c r="E6" s="27">
        <v>1</v>
      </c>
      <c r="F6" s="27">
        <v>0</v>
      </c>
      <c r="G6" s="27">
        <v>1</v>
      </c>
    </row>
    <row r="7" spans="1:7" x14ac:dyDescent="0.2">
      <c r="A7" s="2" t="s">
        <v>19</v>
      </c>
      <c r="B7" s="38" t="s">
        <v>94</v>
      </c>
      <c r="C7" s="27">
        <v>1</v>
      </c>
      <c r="D7" s="27">
        <v>0</v>
      </c>
      <c r="E7" s="27">
        <v>0</v>
      </c>
      <c r="F7" s="27">
        <v>0</v>
      </c>
      <c r="G7" s="27">
        <v>1</v>
      </c>
    </row>
    <row r="8" spans="1:7" x14ac:dyDescent="0.2">
      <c r="A8" s="2" t="s">
        <v>20</v>
      </c>
      <c r="B8" s="38" t="s">
        <v>95</v>
      </c>
      <c r="C8" s="27">
        <v>1</v>
      </c>
      <c r="D8" s="27">
        <v>1</v>
      </c>
      <c r="E8" s="27">
        <v>1</v>
      </c>
      <c r="F8" s="27">
        <v>1</v>
      </c>
      <c r="G8" s="27">
        <v>1</v>
      </c>
    </row>
    <row r="9" spans="1:7" ht="13.5" thickBot="1" x14ac:dyDescent="0.25">
      <c r="A9" s="19" t="s">
        <v>21</v>
      </c>
      <c r="B9" s="62" t="s">
        <v>96</v>
      </c>
      <c r="C9" s="27">
        <v>1</v>
      </c>
      <c r="D9" s="27">
        <v>1</v>
      </c>
      <c r="E9" s="27">
        <v>0</v>
      </c>
      <c r="F9" s="27">
        <v>1</v>
      </c>
      <c r="G9" s="27">
        <v>1</v>
      </c>
    </row>
    <row r="10" spans="1:7" ht="13.5" thickBot="1" x14ac:dyDescent="0.25">
      <c r="A10" s="24"/>
      <c r="B10" s="24" t="s">
        <v>2</v>
      </c>
      <c r="C10" s="44">
        <f>SUM(C5:C9)</f>
        <v>5</v>
      </c>
      <c r="D10" s="44">
        <f>SUM(D5:D9)</f>
        <v>3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x14ac:dyDescent="0.2">
      <c r="A11" s="24"/>
      <c r="B11" s="24" t="s">
        <v>3</v>
      </c>
      <c r="C11" s="49">
        <f>SUM(C5:C9)/COUNT(C5:C9)</f>
        <v>1</v>
      </c>
      <c r="D11" s="49">
        <f>SUM(D5:D9)/COUNT(D5:D9)</f>
        <v>0.6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workbookViewId="0">
      <selection activeCell="D14" sqref="D14"/>
    </sheetView>
  </sheetViews>
  <sheetFormatPr baseColWidth="10" defaultColWidth="9.140625" defaultRowHeight="12.75" x14ac:dyDescent="0.2"/>
  <cols>
    <col min="1" max="1" width="4" customWidth="1"/>
    <col min="2" max="2" width="36.140625" customWidth="1"/>
    <col min="3" max="3" width="35.140625" customWidth="1"/>
    <col min="4" max="4" width="34.42578125" customWidth="1"/>
    <col min="5" max="5" width="25.85546875" customWidth="1"/>
    <col min="6" max="6" width="29" customWidth="1"/>
    <col min="7" max="10" width="4.5703125" style="55" customWidth="1"/>
    <col min="11" max="11" width="6.140625" style="55" customWidth="1"/>
  </cols>
  <sheetData>
    <row r="1" spans="1:11" x14ac:dyDescent="0.2">
      <c r="A1" s="6" t="s">
        <v>38</v>
      </c>
    </row>
    <row r="3" spans="1:11" x14ac:dyDescent="0.2">
      <c r="G3" s="58" t="s">
        <v>31</v>
      </c>
    </row>
    <row r="4" spans="1:11" s="56" customFormat="1" ht="13.5" thickBot="1" x14ac:dyDescent="0.2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38.25" x14ac:dyDescent="0.2">
      <c r="A5" s="63">
        <v>1</v>
      </c>
      <c r="B5" s="64" t="s">
        <v>122</v>
      </c>
      <c r="C5" s="69" t="s">
        <v>121</v>
      </c>
      <c r="D5" s="69"/>
      <c r="E5" s="69" t="s">
        <v>123</v>
      </c>
      <c r="F5" s="69" t="s">
        <v>128</v>
      </c>
      <c r="G5" s="66"/>
      <c r="H5" s="66"/>
      <c r="I5" s="66"/>
      <c r="J5" s="66">
        <v>2</v>
      </c>
      <c r="K5" s="67">
        <f>AVERAGE(G5:J5)</f>
        <v>2</v>
      </c>
    </row>
    <row r="6" spans="1:11" ht="38.25" x14ac:dyDescent="0.2">
      <c r="A6" s="63">
        <v>2</v>
      </c>
      <c r="B6" s="64" t="s">
        <v>130</v>
      </c>
      <c r="C6" s="64" t="s">
        <v>129</v>
      </c>
      <c r="D6" s="63"/>
      <c r="E6" s="63" t="s">
        <v>131</v>
      </c>
      <c r="F6" s="69" t="s">
        <v>132</v>
      </c>
      <c r="G6" s="66"/>
      <c r="H6" s="66"/>
      <c r="I6" s="66"/>
      <c r="J6" s="66">
        <v>2</v>
      </c>
      <c r="K6" s="67">
        <f>AVERAGE(G6:J6)</f>
        <v>2</v>
      </c>
    </row>
    <row r="7" spans="1:11" ht="51" x14ac:dyDescent="0.2">
      <c r="A7" s="63">
        <v>3</v>
      </c>
      <c r="B7" s="64" t="s">
        <v>133</v>
      </c>
      <c r="C7" s="64" t="s">
        <v>134</v>
      </c>
      <c r="D7" s="63"/>
      <c r="E7" s="63" t="s">
        <v>135</v>
      </c>
      <c r="F7" s="64" t="s">
        <v>136</v>
      </c>
      <c r="G7" s="66"/>
      <c r="H7" s="66"/>
      <c r="I7" s="66"/>
      <c r="J7" s="66">
        <v>3</v>
      </c>
      <c r="K7" s="67">
        <f>AVERAGE(G7:J7)</f>
        <v>3</v>
      </c>
    </row>
    <row r="8" spans="1:11" ht="51" x14ac:dyDescent="0.2">
      <c r="A8" s="63">
        <v>4</v>
      </c>
      <c r="B8" s="64" t="s">
        <v>138</v>
      </c>
      <c r="C8" s="64" t="s">
        <v>137</v>
      </c>
      <c r="D8" s="63"/>
      <c r="E8" s="69" t="s">
        <v>139</v>
      </c>
      <c r="F8" s="64" t="s">
        <v>136</v>
      </c>
      <c r="G8" s="66"/>
      <c r="H8" s="66"/>
      <c r="I8" s="66"/>
      <c r="J8" s="66">
        <v>1</v>
      </c>
      <c r="K8" s="67">
        <f>AVERAGE(G8:J8)</f>
        <v>1</v>
      </c>
    </row>
    <row r="9" spans="1:11" x14ac:dyDescent="0.2">
      <c r="A9" s="63"/>
      <c r="B9" s="64"/>
      <c r="C9" s="64"/>
      <c r="D9" s="63"/>
      <c r="E9" s="63"/>
      <c r="F9" s="69"/>
      <c r="G9" s="66"/>
      <c r="H9" s="66"/>
      <c r="I9" s="66"/>
      <c r="J9" s="66"/>
      <c r="K9" s="67"/>
    </row>
    <row r="10" spans="1:11" x14ac:dyDescent="0.2">
      <c r="A10" s="63"/>
      <c r="B10" s="64"/>
      <c r="C10" s="64"/>
      <c r="D10" s="63"/>
      <c r="E10" s="63"/>
      <c r="F10" s="69"/>
      <c r="G10" s="66"/>
      <c r="H10" s="66"/>
      <c r="I10" s="66"/>
      <c r="J10" s="66"/>
      <c r="K10" s="67"/>
    </row>
    <row r="11" spans="1:11" x14ac:dyDescent="0.2">
      <c r="A11" s="63"/>
      <c r="B11" s="64"/>
      <c r="C11" s="64"/>
      <c r="D11" s="63"/>
      <c r="E11" s="63"/>
      <c r="F11" s="64"/>
      <c r="G11" s="66"/>
      <c r="H11" s="66"/>
      <c r="I11" s="66"/>
      <c r="J11" s="66"/>
      <c r="K11" s="67"/>
    </row>
    <row r="12" spans="1:11" x14ac:dyDescent="0.2">
      <c r="A12" s="68"/>
      <c r="B12" s="69"/>
      <c r="C12" s="69"/>
      <c r="D12" s="65"/>
      <c r="E12" s="65"/>
      <c r="F12" s="69"/>
      <c r="G12" s="66"/>
      <c r="H12" s="66"/>
      <c r="I12" s="66"/>
      <c r="J12" s="66"/>
      <c r="K12" s="67"/>
    </row>
    <row r="13" spans="1:11" x14ac:dyDescent="0.2">
      <c r="A13" s="68"/>
      <c r="B13" s="69"/>
      <c r="C13" s="69"/>
      <c r="D13" s="65"/>
      <c r="E13" s="65"/>
      <c r="F13" s="69"/>
      <c r="G13" s="66"/>
      <c r="H13" s="66"/>
      <c r="I13" s="66"/>
      <c r="J13" s="66"/>
      <c r="K13" s="67"/>
    </row>
    <row r="14" spans="1:11" x14ac:dyDescent="0.2">
      <c r="A14" s="63"/>
      <c r="B14" s="64"/>
      <c r="C14" s="64"/>
      <c r="D14" s="65"/>
      <c r="E14" s="65"/>
      <c r="F14" s="70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activeCell="D22" sqref="D22"/>
    </sheetView>
  </sheetViews>
  <sheetFormatPr baseColWidth="10" defaultColWidth="9.140625" defaultRowHeight="12.75" x14ac:dyDescent="0.2"/>
  <cols>
    <col min="1" max="1" width="4" customWidth="1"/>
    <col min="2" max="2" width="36" customWidth="1"/>
    <col min="3" max="4" width="35.140625" customWidth="1"/>
    <col min="5" max="5" width="26.140625" customWidth="1"/>
    <col min="6" max="6" width="29.140625" customWidth="1"/>
    <col min="7" max="10" width="4.5703125" style="55" customWidth="1"/>
    <col min="11" max="11" width="5.85546875" style="55" customWidth="1"/>
  </cols>
  <sheetData>
    <row r="1" spans="1:11" x14ac:dyDescent="0.2">
      <c r="A1" s="6" t="s">
        <v>37</v>
      </c>
    </row>
    <row r="3" spans="1:11" x14ac:dyDescent="0.2">
      <c r="G3" s="58" t="s">
        <v>42</v>
      </c>
    </row>
    <row r="4" spans="1:11" s="56" customFormat="1" ht="13.5" thickBot="1" x14ac:dyDescent="0.2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25.5" x14ac:dyDescent="0.2">
      <c r="A5" s="63">
        <v>1</v>
      </c>
      <c r="B5" s="64" t="s">
        <v>145</v>
      </c>
      <c r="C5" s="64" t="s">
        <v>140</v>
      </c>
      <c r="D5" s="69"/>
      <c r="E5" s="69" t="s">
        <v>141</v>
      </c>
      <c r="F5" s="69" t="s">
        <v>142</v>
      </c>
      <c r="G5" s="66"/>
      <c r="H5" s="66"/>
      <c r="I5" s="66"/>
      <c r="J5" s="66">
        <v>1</v>
      </c>
      <c r="K5" s="67">
        <f>AVERAGE(G5:J5)</f>
        <v>1</v>
      </c>
    </row>
    <row r="6" spans="1:11" ht="25.5" x14ac:dyDescent="0.2">
      <c r="A6" s="63">
        <v>2</v>
      </c>
      <c r="B6" s="64" t="s">
        <v>144</v>
      </c>
      <c r="C6" s="64" t="s">
        <v>143</v>
      </c>
      <c r="D6" s="64"/>
      <c r="E6" s="64" t="s">
        <v>146</v>
      </c>
      <c r="F6" s="69" t="s">
        <v>142</v>
      </c>
      <c r="G6" s="66"/>
      <c r="H6" s="66"/>
      <c r="I6" s="66"/>
      <c r="J6" s="66">
        <v>2</v>
      </c>
      <c r="K6" s="67">
        <f>AVERAGE(G6:J6)</f>
        <v>2</v>
      </c>
    </row>
    <row r="7" spans="1:11" x14ac:dyDescent="0.2">
      <c r="A7" s="63"/>
      <c r="B7" s="64"/>
      <c r="C7" s="64"/>
      <c r="D7" s="64"/>
      <c r="E7" s="64"/>
      <c r="F7" s="64"/>
      <c r="G7" s="66"/>
      <c r="H7" s="66"/>
      <c r="I7" s="66"/>
      <c r="J7" s="66"/>
      <c r="K7" s="67"/>
    </row>
    <row r="8" spans="1:11" x14ac:dyDescent="0.2">
      <c r="A8" s="63"/>
      <c r="B8" s="64"/>
      <c r="C8" s="64"/>
      <c r="D8" s="64"/>
      <c r="E8" s="64"/>
      <c r="F8" s="64"/>
      <c r="G8" s="66"/>
      <c r="H8" s="66"/>
      <c r="I8" s="66"/>
      <c r="J8" s="66"/>
      <c r="K8" s="67"/>
    </row>
    <row r="9" spans="1:11" x14ac:dyDescent="0.2">
      <c r="A9" s="63"/>
      <c r="B9" s="64"/>
      <c r="C9" s="64"/>
      <c r="D9" s="64"/>
      <c r="E9" s="64"/>
      <c r="F9" s="64"/>
      <c r="G9" s="66"/>
      <c r="H9" s="66"/>
      <c r="I9" s="66"/>
      <c r="J9" s="66"/>
      <c r="K9" s="67"/>
    </row>
    <row r="10" spans="1:11" x14ac:dyDescent="0.2">
      <c r="A10" s="63"/>
      <c r="B10" s="64"/>
      <c r="C10" s="64"/>
      <c r="D10" s="64"/>
      <c r="E10" s="64"/>
      <c r="F10" s="64"/>
      <c r="G10" s="66"/>
      <c r="H10" s="66"/>
      <c r="I10" s="66"/>
      <c r="J10" s="66"/>
      <c r="K10" s="67"/>
    </row>
    <row r="11" spans="1:11" x14ac:dyDescent="0.2">
      <c r="A11" s="63"/>
      <c r="B11" s="64"/>
      <c r="C11" s="64"/>
      <c r="D11" s="64"/>
      <c r="E11" s="64"/>
      <c r="F11" s="64"/>
      <c r="G11" s="66"/>
      <c r="H11" s="66"/>
      <c r="I11" s="66"/>
      <c r="J11" s="66"/>
      <c r="K11" s="67"/>
    </row>
    <row r="12" spans="1:11" x14ac:dyDescent="0.2">
      <c r="A12" s="63"/>
      <c r="B12" s="64"/>
      <c r="C12" s="64"/>
      <c r="D12" s="64"/>
      <c r="E12" s="64"/>
      <c r="F12" s="64"/>
      <c r="G12" s="66"/>
      <c r="H12" s="66"/>
      <c r="I12" s="66"/>
      <c r="J12" s="66"/>
      <c r="K12" s="67"/>
    </row>
    <row r="13" spans="1:11" x14ac:dyDescent="0.2">
      <c r="A13" s="63"/>
      <c r="B13" s="64"/>
      <c r="C13" s="64"/>
      <c r="D13" s="64"/>
      <c r="E13" s="64"/>
      <c r="F13" s="64"/>
      <c r="G13" s="66"/>
      <c r="H13" s="66"/>
      <c r="I13" s="66"/>
      <c r="J13" s="66"/>
      <c r="K13" s="67"/>
    </row>
    <row r="14" spans="1:11" x14ac:dyDescent="0.2">
      <c r="A14" s="63"/>
      <c r="B14" s="64"/>
      <c r="C14" s="64"/>
      <c r="D14" s="64"/>
      <c r="E14" s="64"/>
      <c r="F14" s="64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2" sqref="C2"/>
    </sheetView>
  </sheetViews>
  <sheetFormatPr baseColWidth="10" defaultColWidth="11.42578125" defaultRowHeight="12.75" x14ac:dyDescent="0.2"/>
  <cols>
    <col min="1" max="1" width="9.5703125" bestFit="1" customWidth="1"/>
    <col min="2" max="2" width="12.140625" style="23" bestFit="1" customWidth="1"/>
    <col min="3" max="3" width="22.140625" bestFit="1" customWidth="1"/>
    <col min="4" max="4" width="18.140625" bestFit="1" customWidth="1"/>
    <col min="5" max="5" width="23.140625" bestFit="1" customWidth="1"/>
    <col min="6" max="6" width="19.140625" bestFit="1" customWidth="1"/>
    <col min="7" max="7" width="27.85546875" bestFit="1" customWidth="1"/>
    <col min="8" max="8" width="23.85546875" bestFit="1" customWidth="1"/>
    <col min="9" max="9" width="27.85546875" bestFit="1" customWidth="1"/>
    <col min="10" max="10" width="23.85546875" bestFit="1" customWidth="1"/>
    <col min="11" max="11" width="32.140625" bestFit="1" customWidth="1"/>
    <col min="12" max="12" width="29.140625" bestFit="1" customWidth="1"/>
    <col min="13" max="13" width="24.140625" bestFit="1" customWidth="1"/>
    <col min="14" max="14" width="20.140625" bestFit="1" customWidth="1"/>
    <col min="15" max="15" width="24.42578125" customWidth="1"/>
    <col min="16" max="17" width="20.140625" bestFit="1" customWidth="1"/>
    <col min="18" max="18" width="22.140625" customWidth="1"/>
    <col min="19" max="19" width="22" customWidth="1"/>
    <col min="20" max="20" width="15.7109375" customWidth="1"/>
    <col min="21" max="21" width="14" customWidth="1"/>
    <col min="22" max="22" width="17.5703125" customWidth="1"/>
    <col min="23" max="23" width="16" customWidth="1"/>
    <col min="24" max="24" width="25" customWidth="1"/>
    <col min="25" max="25" width="19.85546875" customWidth="1"/>
    <col min="26" max="26" width="10.140625" customWidth="1"/>
    <col min="27" max="27" width="7.85546875" customWidth="1"/>
    <col min="28" max="28" width="8.7109375" customWidth="1"/>
    <col min="29" max="29" width="9.5703125" customWidth="1"/>
    <col min="30" max="30" width="8.7109375" customWidth="1"/>
    <col min="31" max="31" width="29.42578125" customWidth="1"/>
  </cols>
  <sheetData>
    <row r="1" spans="1:17" x14ac:dyDescent="0.2">
      <c r="A1" s="6" t="s">
        <v>39</v>
      </c>
    </row>
    <row r="3" spans="1:17" s="1" customFormat="1" ht="13.5" thickBot="1" x14ac:dyDescent="0.25">
      <c r="A3" s="31" t="s">
        <v>16</v>
      </c>
      <c r="B3" s="3" t="s">
        <v>6</v>
      </c>
      <c r="C3" s="29" t="s">
        <v>44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0" t="s">
        <v>28</v>
      </c>
      <c r="J3" s="30" t="s">
        <v>29</v>
      </c>
      <c r="K3" s="30" t="s">
        <v>30</v>
      </c>
      <c r="L3" s="30" t="s">
        <v>45</v>
      </c>
      <c r="M3" s="30" t="s">
        <v>46</v>
      </c>
      <c r="N3" s="13" t="s">
        <v>47</v>
      </c>
      <c r="O3" s="13" t="s">
        <v>82</v>
      </c>
      <c r="P3" s="13" t="s">
        <v>48</v>
      </c>
      <c r="Q3" s="13" t="s">
        <v>83</v>
      </c>
    </row>
    <row r="4" spans="1:17" s="18" customFormat="1" x14ac:dyDescent="0.2">
      <c r="A4" s="2" t="s">
        <v>17</v>
      </c>
      <c r="B4" s="38" t="s">
        <v>92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">
      <c r="A5" s="2" t="s">
        <v>18</v>
      </c>
      <c r="B5" s="38" t="s">
        <v>93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">
      <c r="A6" s="2" t="s">
        <v>19</v>
      </c>
      <c r="B6" s="38" t="s">
        <v>94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">
      <c r="A7" s="2" t="s">
        <v>20</v>
      </c>
      <c r="B7" s="38" t="s">
        <v>95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.5" thickBot="1" x14ac:dyDescent="0.25">
      <c r="A8" s="19" t="s">
        <v>21</v>
      </c>
      <c r="B8" s="62" t="s">
        <v>96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.5" thickBot="1" x14ac:dyDescent="0.25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x14ac:dyDescent="0.2">
      <c r="A10" s="24"/>
      <c r="B10" s="24" t="s">
        <v>43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25">
      <c r="A11" s="24"/>
      <c r="B11" s="24" t="s">
        <v>5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Fabian Mehedincu</cp:lastModifiedBy>
  <dcterms:created xsi:type="dcterms:W3CDTF">2005-01-12T10:04:19Z</dcterms:created>
  <dcterms:modified xsi:type="dcterms:W3CDTF">2026-05-16T07:42:30Z</dcterms:modified>
</cp:coreProperties>
</file>