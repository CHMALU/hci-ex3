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3" firstSheet="0" activeTab="3" autoFilterDateGrouping="1"/>
  </bookViews>
  <sheets>
    <sheet name="Background Q" sheetId="1" state="visible" r:id="rId1"/>
    <sheet name="Task Success" sheetId="2" state="visible" r:id="rId2"/>
    <sheet name="Negative Findings (Problems)" sheetId="3" state="visible" r:id="rId3"/>
    <sheet name="Positive Findings" sheetId="4" state="visible" r:id="rId4"/>
    <sheet name="Feedback Q"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4">
    <font>
      <name val="Arial"/>
      <sz val="10"/>
    </font>
    <font>
      <name val="Arial"/>
      <family val="2"/>
      <b val="1"/>
      <i val="1"/>
      <sz val="10"/>
    </font>
    <font>
      <name val="Arial"/>
      <family val="2"/>
      <b val="1"/>
      <sz val="10"/>
    </font>
    <font>
      <name val="Arial"/>
      <family val="2"/>
      <sz val="10"/>
    </font>
  </fonts>
  <fills count="4">
    <fill>
      <patternFill/>
    </fill>
    <fill>
      <patternFill patternType="gray125"/>
    </fill>
    <fill>
      <patternFill patternType="solid">
        <fgColor indexed="22"/>
        <bgColor indexed="64"/>
      </patternFill>
    </fill>
    <fill>
      <patternFill patternType="solid">
        <fgColor indexed="42"/>
        <bgColor indexed="64"/>
      </patternFill>
    </fill>
  </fills>
  <borders count="35">
    <border>
      <left/>
      <right/>
      <top/>
      <bottom/>
      <diagonal/>
    </border>
    <border>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bottom style="medium">
        <color indexed="64"/>
      </bottom>
      <diagonal/>
    </border>
    <border>
      <left style="medium">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hair">
        <color indexed="8"/>
      </left>
      <right/>
      <top/>
      <bottom/>
      <diagonal/>
    </border>
    <border>
      <left/>
      <right/>
      <top/>
      <bottom style="medium">
        <color indexed="8"/>
      </bottom>
      <diagonal/>
    </border>
    <border>
      <left style="hair">
        <color indexed="8"/>
      </left>
      <right/>
      <top/>
      <bottom style="medium">
        <color indexed="8"/>
      </bottom>
      <diagonal/>
    </border>
    <border>
      <left/>
      <right/>
      <top style="medium">
        <color indexed="64"/>
      </top>
      <bottom/>
      <diagonal/>
    </border>
  </borders>
  <cellStyleXfs count="1">
    <xf numFmtId="0" fontId="0" fillId="0" borderId="0"/>
  </cellStyleXfs>
  <cellXfs count="79">
    <xf numFmtId="0" fontId="0" fillId="0" borderId="0" pivotButton="0" quotePrefix="0" xfId="0"/>
    <xf numFmtId="0" fontId="1" fillId="0" borderId="0" pivotButton="0" quotePrefix="0" xfId="0"/>
    <xf numFmtId="0" fontId="0" fillId="0" borderId="1" pivotButton="0" quotePrefix="0" xfId="0"/>
    <xf numFmtId="0" fontId="1" fillId="0" borderId="2" pivotButton="0" quotePrefix="0" xfId="0"/>
    <xf numFmtId="0" fontId="0" fillId="0" borderId="3" pivotButton="0" quotePrefix="0" xfId="0"/>
    <xf numFmtId="0" fontId="0" fillId="0" borderId="0" applyAlignment="1" pivotButton="0" quotePrefix="0" xfId="0">
      <alignment horizontal="right"/>
    </xf>
    <xf numFmtId="0" fontId="2" fillId="0" borderId="0" pivotButton="0" quotePrefix="0" xfId="0"/>
    <xf numFmtId="0" fontId="1" fillId="2" borderId="4" pivotButton="0" quotePrefix="0" xfId="0"/>
    <xf numFmtId="0" fontId="1" fillId="2" borderId="5" pivotButton="0" quotePrefix="0" xfId="0"/>
    <xf numFmtId="0" fontId="2" fillId="2" borderId="6" pivotButton="0" quotePrefix="0" xfId="0"/>
    <xf numFmtId="0" fontId="2" fillId="2" borderId="7" pivotButton="0" quotePrefix="0" xfId="0"/>
    <xf numFmtId="0" fontId="2" fillId="2" borderId="8" pivotButton="0" quotePrefix="0" xfId="0"/>
    <xf numFmtId="0" fontId="1" fillId="2" borderId="9" pivotButton="0" quotePrefix="0" xfId="0"/>
    <xf numFmtId="0" fontId="1" fillId="2" borderId="11" pivotButton="0" quotePrefix="0" xfId="0"/>
    <xf numFmtId="0" fontId="1" fillId="2" borderId="12" pivotButton="0" quotePrefix="0" xfId="0"/>
    <xf numFmtId="0" fontId="0" fillId="0" borderId="13" pivotButton="0" quotePrefix="0" xfId="0"/>
    <xf numFmtId="0" fontId="0" fillId="0" borderId="14" pivotButton="0" quotePrefix="0" xfId="0"/>
    <xf numFmtId="2" fontId="0" fillId="0" borderId="0" pivotButton="0" quotePrefix="0" xfId="0"/>
    <xf numFmtId="0" fontId="0" fillId="0" borderId="0" applyAlignment="1" pivotButton="0" quotePrefix="0" xfId="0">
      <alignment horizontal="center"/>
    </xf>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0" applyAlignment="1" pivotButton="0" quotePrefix="0" xfId="0">
      <alignment horizontal="left"/>
    </xf>
    <xf numFmtId="0" fontId="2" fillId="0" borderId="0" applyAlignment="1" pivotButton="0" quotePrefix="0" xfId="0">
      <alignment horizontal="left"/>
    </xf>
    <xf numFmtId="0" fontId="1" fillId="2" borderId="19" applyAlignment="1" pivotButton="0" quotePrefix="0" xfId="0">
      <alignment horizontal="center"/>
    </xf>
    <xf numFmtId="0" fontId="2" fillId="0" borderId="0" applyAlignment="1" pivotButton="0" quotePrefix="0" xfId="0">
      <alignment horizontal="right"/>
    </xf>
    <xf numFmtId="1" fontId="0" fillId="3" borderId="3" pivotButton="0" quotePrefix="0" xfId="0"/>
    <xf numFmtId="0" fontId="2" fillId="3" borderId="20" pivotButton="0" quotePrefix="0" xfId="0"/>
    <xf numFmtId="0" fontId="1" fillId="2" borderId="10" applyAlignment="1" pivotButton="0" quotePrefix="0" xfId="0">
      <alignment horizontal="center"/>
    </xf>
    <xf numFmtId="0" fontId="1" fillId="2" borderId="11" applyAlignment="1" pivotButton="0" quotePrefix="0" xfId="0">
      <alignment horizontal="center"/>
    </xf>
    <xf numFmtId="0" fontId="1" fillId="0" borderId="21" applyAlignment="1" pivotButton="0" quotePrefix="0" xfId="0">
      <alignment horizontal="left"/>
    </xf>
    <xf numFmtId="0" fontId="0" fillId="0" borderId="22" applyAlignment="1" pivotButton="0" quotePrefix="0" xfId="0">
      <alignment horizontal="center"/>
    </xf>
    <xf numFmtId="0" fontId="0" fillId="0" borderId="4" applyAlignment="1" pivotButton="0" quotePrefix="0" xfId="0">
      <alignment horizontal="center"/>
    </xf>
    <xf numFmtId="2" fontId="0" fillId="3" borderId="10" applyAlignment="1" pivotButton="0" quotePrefix="0" xfId="0">
      <alignment horizontal="center"/>
    </xf>
    <xf numFmtId="0" fontId="1" fillId="2" borderId="23" pivotButton="0" quotePrefix="0" xfId="0"/>
    <xf numFmtId="0" fontId="1" fillId="2" borderId="24" pivotButton="0" quotePrefix="0" xfId="0"/>
    <xf numFmtId="0" fontId="1" fillId="2" borderId="25" pivotButton="0" quotePrefix="0" xfId="0"/>
    <xf numFmtId="0" fontId="3" fillId="0" borderId="3" pivotButton="0" quotePrefix="0" xfId="0"/>
    <xf numFmtId="0" fontId="3" fillId="0" borderId="22" applyAlignment="1" pivotButton="0" quotePrefix="0" xfId="0">
      <alignment horizontal="center"/>
    </xf>
    <xf numFmtId="2" fontId="3" fillId="0" borderId="0" pivotButton="0" quotePrefix="0" xfId="0"/>
    <xf numFmtId="0" fontId="3" fillId="0" borderId="13" pivotButton="0" quotePrefix="0" xfId="0"/>
    <xf numFmtId="0" fontId="3" fillId="0" borderId="0" pivotButton="0" quotePrefix="0" xfId="0"/>
    <xf numFmtId="0" fontId="3" fillId="0" borderId="14" pivotButton="0" quotePrefix="0" xfId="0"/>
    <xf numFmtId="1" fontId="0" fillId="3" borderId="26" pivotButton="0" quotePrefix="0" xfId="0"/>
    <xf numFmtId="164" fontId="2" fillId="3" borderId="27" pivotButton="0" quotePrefix="0" xfId="0"/>
    <xf numFmtId="0" fontId="0" fillId="0" borderId="28" applyAlignment="1" pivotButton="0" quotePrefix="0" xfId="0">
      <alignment horizontal="center"/>
    </xf>
    <xf numFmtId="0" fontId="0" fillId="0" borderId="29" applyAlignment="1" pivotButton="0" quotePrefix="0" xfId="0">
      <alignment horizontal="center"/>
    </xf>
    <xf numFmtId="0" fontId="0" fillId="0" borderId="30" applyAlignment="1" pivotButton="0" quotePrefix="0" xfId="0">
      <alignment horizontal="center"/>
    </xf>
    <xf numFmtId="9" fontId="0" fillId="3" borderId="26" pivotButton="0" quotePrefix="0" xfId="0"/>
    <xf numFmtId="164" fontId="2" fillId="3" borderId="26" applyAlignment="1" pivotButton="0" quotePrefix="0" xfId="0">
      <alignment horizontal="center"/>
    </xf>
    <xf numFmtId="164" fontId="3" fillId="3" borderId="27" pivotButton="0" quotePrefix="0" xfId="0"/>
    <xf numFmtId="0" fontId="0" fillId="0" borderId="3" applyAlignment="1" pivotButton="0" quotePrefix="0" xfId="0">
      <alignment horizontal="right"/>
    </xf>
    <xf numFmtId="0" fontId="0" fillId="0" borderId="15" applyAlignment="1" pivotButton="0" quotePrefix="0" xfId="0">
      <alignment horizontal="right"/>
    </xf>
    <xf numFmtId="0" fontId="0" fillId="0" borderId="16" applyAlignment="1" pivotButton="0" quotePrefix="0" xfId="0">
      <alignment horizontal="right"/>
    </xf>
    <xf numFmtId="0" fontId="0" fillId="0" borderId="31" pivotButton="0" quotePrefix="0" xfId="0"/>
    <xf numFmtId="0" fontId="0" fillId="0" borderId="32" pivotButton="0" quotePrefix="0" xfId="0"/>
    <xf numFmtId="0" fontId="0" fillId="0" borderId="33" applyAlignment="1" pivotButton="0" quotePrefix="0" xfId="0">
      <alignment horizontal="right"/>
    </xf>
    <xf numFmtId="0" fontId="2" fillId="0" borderId="31" pivotButton="0" quotePrefix="0" xfId="0"/>
    <xf numFmtId="0" fontId="2" fillId="0" borderId="33" applyAlignment="1" pivotButton="0" quotePrefix="0" xfId="0">
      <alignment horizontal="right"/>
    </xf>
    <xf numFmtId="0" fontId="2" fillId="0" borderId="32" pivotButton="0" quotePrefix="0" xfId="0"/>
    <xf numFmtId="0" fontId="3" fillId="0" borderId="19" pivotButton="0" quotePrefix="0" xfId="0"/>
    <xf numFmtId="0" fontId="3" fillId="0" borderId="16"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3" fillId="0" borderId="0" applyAlignment="1" pivotButton="0" quotePrefix="0" xfId="0">
      <alignment vertical="top"/>
    </xf>
    <xf numFmtId="0" fontId="0" fillId="0" borderId="31" applyAlignment="1" pivotButton="0" quotePrefix="0" xfId="0">
      <alignment vertical="top"/>
    </xf>
    <xf numFmtId="2" fontId="0" fillId="0" borderId="31" applyAlignment="1" pivotButton="0" quotePrefix="0" xfId="0">
      <alignment vertical="top"/>
    </xf>
    <xf numFmtId="0" fontId="3" fillId="0" borderId="0" applyAlignment="1" pivotButton="0" quotePrefix="0" xfId="0">
      <alignment horizontal="right" vertical="top"/>
    </xf>
    <xf numFmtId="0" fontId="3" fillId="0" borderId="0" applyAlignment="1" pivotButton="0" quotePrefix="0" xfId="0">
      <alignment vertical="top" wrapText="1"/>
    </xf>
    <xf numFmtId="0" fontId="1" fillId="2" borderId="4" applyAlignment="1" pivotButton="0" quotePrefix="0" xfId="0">
      <alignment horizontal="right"/>
    </xf>
    <xf numFmtId="0" fontId="1" fillId="2" borderId="2" applyAlignment="1" pivotButton="0" quotePrefix="0" xfId="0">
      <alignment horizontal="right"/>
    </xf>
    <xf numFmtId="0" fontId="0" fillId="0" borderId="1" applyAlignment="1" pivotButton="0" quotePrefix="0" xfId="0">
      <alignment horizontal="left"/>
    </xf>
    <xf numFmtId="0" fontId="0" fillId="0" borderId="15" applyAlignment="1" pivotButton="0" quotePrefix="0" xfId="0">
      <alignment horizontal="left"/>
    </xf>
    <xf numFmtId="0" fontId="1" fillId="2" borderId="11" applyAlignment="1" pivotButton="0" quotePrefix="0" xfId="0">
      <alignment horizontal="right"/>
    </xf>
    <xf numFmtId="20" fontId="0" fillId="0" borderId="0" applyAlignment="1" pivotButton="0" quotePrefix="0" xfId="0">
      <alignment vertical="top" wrapText="1"/>
    </xf>
    <xf numFmtId="0" fontId="2" fillId="2" borderId="6" pivotButton="0" quotePrefix="0" xfId="0"/>
    <xf numFmtId="0" fontId="2" fillId="2" borderId="7" pivotButton="0" quotePrefix="0" xfId="0"/>
    <xf numFmtId="0" fontId="0" fillId="0" borderId="7"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
  <sheetViews>
    <sheetView workbookViewId="0">
      <selection activeCell="C19" sqref="C19"/>
    </sheetView>
  </sheetViews>
  <sheetFormatPr baseColWidth="10" defaultColWidth="11.42578125" defaultRowHeight="12.75"/>
  <cols>
    <col width="11.5703125" customWidth="1" min="1" max="1"/>
    <col width="12.140625" customWidth="1" min="2" max="2"/>
    <col width="11.28515625" customWidth="1" min="3" max="3"/>
    <col width="5.85546875" bestFit="1" customWidth="1" min="4" max="4"/>
    <col width="17.5703125" bestFit="1" customWidth="1" min="5" max="5"/>
    <col width="15.28515625" bestFit="1" customWidth="1" min="6" max="6"/>
    <col width="23" customWidth="1" min="7" max="7"/>
    <col width="13" customWidth="1" min="8" max="8"/>
    <col width="6.7109375" customWidth="1" min="9" max="9"/>
    <col width="7.85546875" customWidth="1" min="10" max="10"/>
    <col width="13.5703125" customWidth="1" min="11" max="11"/>
    <col width="6.28515625" customWidth="1" min="12" max="12"/>
    <col width="7.140625" customWidth="1" min="13" max="13"/>
    <col width="13.5703125" customWidth="1" min="14" max="14"/>
    <col width="6.28515625" customWidth="1" min="15" max="15"/>
    <col width="7.5703125" customWidth="1" min="16" max="16"/>
    <col width="13.42578125" customWidth="1" min="17" max="17"/>
    <col width="12.7109375" customWidth="1" min="18" max="18"/>
    <col width="14" customWidth="1" min="19" max="19"/>
    <col width="8.28515625" customWidth="1" min="20" max="20"/>
    <col width="15.28515625" customWidth="1" min="21" max="21"/>
    <col width="13.42578125" customWidth="1" min="22" max="22"/>
    <col width="13.5703125" customWidth="1" min="23" max="23"/>
    <col width="13.85546875" customWidth="1" min="24" max="24"/>
    <col width="13.140625" customWidth="1" min="25" max="25"/>
    <col width="22.42578125" customWidth="1" min="26" max="26"/>
  </cols>
  <sheetData>
    <row r="1">
      <c r="A1" s="6" t="inlineStr">
        <is>
          <t>Background Questionnaire</t>
        </is>
      </c>
    </row>
    <row r="2" ht="13.5" customHeight="1" thickBot="1"/>
    <row r="3" customFormat="1" s="6">
      <c r="C3" s="76" t="inlineStr">
        <is>
          <t>General Information</t>
        </is>
      </c>
      <c r="D3" s="77" t="n"/>
      <c r="E3" s="77" t="n"/>
      <c r="F3" s="76" t="inlineStr">
        <is>
          <t>Education</t>
        </is>
      </c>
      <c r="G3" s="11" t="n"/>
      <c r="H3" s="76" t="inlineStr">
        <is>
          <t>Personal Computer Use</t>
        </is>
      </c>
      <c r="I3" s="77" t="n"/>
      <c r="J3" s="77" t="n"/>
      <c r="K3" s="76" t="inlineStr">
        <is>
          <t>Tablet Use</t>
        </is>
      </c>
      <c r="L3" s="77" t="n"/>
      <c r="M3" s="77" t="n"/>
      <c r="N3" s="76" t="inlineStr">
        <is>
          <t>Smartphone Use</t>
        </is>
      </c>
      <c r="O3" s="77" t="n"/>
      <c r="P3" s="77" t="n"/>
      <c r="Q3" s="76" t="inlineStr">
        <is>
          <t>Web Use</t>
        </is>
      </c>
      <c r="R3" s="77" t="n"/>
      <c r="S3" s="77" t="n"/>
      <c r="T3" s="77" t="n"/>
      <c r="U3" s="76" t="inlineStr">
        <is>
          <t>Domain-Specific Questions</t>
        </is>
      </c>
      <c r="V3" s="78" t="n"/>
      <c r="W3" s="78" t="n"/>
      <c r="X3" s="76" t="inlineStr">
        <is>
          <t>Previous Usability Tests</t>
        </is>
      </c>
      <c r="Y3" s="78" t="n"/>
      <c r="Z3" s="11" t="n"/>
    </row>
    <row r="4" ht="13.5" customFormat="1" customHeight="1" s="1" thickBot="1">
      <c r="A4" s="31" t="inlineStr">
        <is>
          <t>User</t>
        </is>
      </c>
      <c r="B4" s="3" t="inlineStr">
        <is>
          <t>Alias</t>
        </is>
      </c>
      <c r="C4" s="7" t="inlineStr">
        <is>
          <t>Gender</t>
        </is>
      </c>
      <c r="D4" s="71" t="inlineStr">
        <is>
          <t>Age</t>
        </is>
      </c>
      <c r="E4" s="12" t="inlineStr">
        <is>
          <t>Occupation</t>
        </is>
      </c>
      <c r="F4" s="7" t="inlineStr">
        <is>
          <t>Highest</t>
        </is>
      </c>
      <c r="G4" s="8" t="inlineStr">
        <is>
          <t>Area of Study</t>
        </is>
      </c>
      <c r="H4" s="12" t="inlineStr">
        <is>
          <t>OS</t>
        </is>
      </c>
      <c r="I4" s="70" t="inlineStr">
        <is>
          <t>Years</t>
        </is>
      </c>
      <c r="J4" s="71" t="inlineStr">
        <is>
          <t>h/week</t>
        </is>
      </c>
      <c r="K4" s="12" t="inlineStr">
        <is>
          <t>OS</t>
        </is>
      </c>
      <c r="L4" s="70" t="inlineStr">
        <is>
          <t>Years</t>
        </is>
      </c>
      <c r="M4" s="71" t="inlineStr">
        <is>
          <t>h/week</t>
        </is>
      </c>
      <c r="N4" s="12" t="inlineStr">
        <is>
          <t>OS</t>
        </is>
      </c>
      <c r="O4" s="70" t="inlineStr">
        <is>
          <t>Years</t>
        </is>
      </c>
      <c r="P4" s="71" t="inlineStr">
        <is>
          <t>h/week</t>
        </is>
      </c>
      <c r="Q4" s="13" t="inlineStr">
        <is>
          <t>Device</t>
        </is>
      </c>
      <c r="R4" s="13" t="inlineStr">
        <is>
          <t>Connection</t>
        </is>
      </c>
      <c r="S4" s="13" t="inlineStr">
        <is>
          <t>Browser</t>
        </is>
      </c>
      <c r="T4" s="74" t="inlineStr">
        <is>
          <t>h/week</t>
        </is>
      </c>
      <c r="U4" s="13" t="inlineStr">
        <is>
          <t>Q1</t>
        </is>
      </c>
      <c r="V4" s="13" t="inlineStr">
        <is>
          <t>Q2</t>
        </is>
      </c>
      <c r="W4" s="13" t="inlineStr">
        <is>
          <t>Q3</t>
        </is>
      </c>
      <c r="X4" s="13" t="inlineStr">
        <is>
          <t>As Test Person</t>
        </is>
      </c>
      <c r="Y4" s="13" t="inlineStr">
        <is>
          <t>In Test Team</t>
        </is>
      </c>
      <c r="Z4" s="14" t="inlineStr">
        <is>
          <t>Type of Test</t>
        </is>
      </c>
    </row>
    <row r="5">
      <c r="A5" s="2" t="inlineStr">
        <is>
          <t>TP1 (Pilot)</t>
        </is>
      </c>
      <c r="B5" s="38" t="inlineStr">
        <is>
          <t>"Emma"</t>
        </is>
      </c>
      <c r="C5" s="72" t="inlineStr">
        <is>
          <t>woman</t>
        </is>
      </c>
      <c r="D5" s="52" t="n">
        <v>19</v>
      </c>
      <c r="E5" s="38" t="inlineStr">
        <is>
          <t>Student</t>
        </is>
      </c>
      <c r="F5" s="4" t="inlineStr">
        <is>
          <t>A Levels</t>
        </is>
      </c>
      <c r="G5" s="4" t="inlineStr">
        <is>
          <t>Musicology</t>
        </is>
      </c>
      <c r="H5" s="41" t="inlineStr">
        <is>
          <t>Windows</t>
        </is>
      </c>
      <c r="I5" s="52" t="n">
        <v>5</v>
      </c>
      <c r="J5" s="52" t="n">
        <v>7</v>
      </c>
      <c r="K5" s="41" t="inlineStr">
        <is>
          <t>Apple</t>
        </is>
      </c>
      <c r="L5" s="52" t="n">
        <v>15</v>
      </c>
      <c r="M5" s="52" t="n">
        <v>28</v>
      </c>
      <c r="N5" s="41" t="inlineStr">
        <is>
          <t>Android</t>
        </is>
      </c>
      <c r="O5" s="52" t="n">
        <v>10</v>
      </c>
      <c r="P5" s="52" t="n">
        <v>28</v>
      </c>
      <c r="Q5" s="42" t="inlineStr">
        <is>
          <t>desktop</t>
        </is>
      </c>
      <c r="R5" s="16" t="inlineStr">
        <is>
          <t>cable</t>
        </is>
      </c>
      <c r="S5" t="inlineStr">
        <is>
          <t>Chrome</t>
        </is>
      </c>
      <c r="T5" s="16" t="n">
        <v>4</v>
      </c>
      <c r="U5" s="43" t="inlineStr">
        <is>
          <t>few times a year</t>
        </is>
      </c>
      <c r="V5" s="43" t="inlineStr">
        <is>
          <t>Am, MM</t>
        </is>
      </c>
      <c r="W5" s="43" t="inlineStr">
        <is>
          <t>price</t>
        </is>
      </c>
      <c r="X5" s="43" t="inlineStr">
        <is>
          <t>n</t>
        </is>
      </c>
      <c r="Y5" s="43" t="inlineStr">
        <is>
          <t>n</t>
        </is>
      </c>
      <c r="Z5" s="43" t="inlineStr">
        <is>
          <t>N/A</t>
        </is>
      </c>
    </row>
    <row r="6">
      <c r="A6" s="2" t="inlineStr">
        <is>
          <t>TP2</t>
        </is>
      </c>
      <c r="B6" s="38" t="inlineStr">
        <is>
          <t>"Lily"</t>
        </is>
      </c>
      <c r="C6" s="72" t="inlineStr">
        <is>
          <t>woman</t>
        </is>
      </c>
      <c r="D6" s="52" t="n">
        <v>24</v>
      </c>
      <c r="E6" s="38" t="inlineStr">
        <is>
          <t>Student</t>
        </is>
      </c>
      <c r="F6" s="4" t="inlineStr">
        <is>
          <t>Bachelor</t>
        </is>
      </c>
      <c r="G6" s="4" t="inlineStr">
        <is>
          <t>Structural Engineering</t>
        </is>
      </c>
      <c r="H6" s="41" t="inlineStr">
        <is>
          <t>Windows</t>
        </is>
      </c>
      <c r="I6" s="52" t="n">
        <v>10</v>
      </c>
      <c r="J6" s="52" t="n">
        <v>35</v>
      </c>
      <c r="K6" s="15" t="inlineStr">
        <is>
          <t>Apple</t>
        </is>
      </c>
      <c r="L6" s="52" t="n">
        <v>15</v>
      </c>
      <c r="M6" s="52" t="n">
        <v>25</v>
      </c>
      <c r="N6" s="15" t="inlineStr">
        <is>
          <t>Apple</t>
        </is>
      </c>
      <c r="O6" s="52" t="n">
        <v>12</v>
      </c>
      <c r="P6" s="52" t="n">
        <v>25</v>
      </c>
      <c r="Q6" t="inlineStr">
        <is>
          <t>laptop</t>
        </is>
      </c>
      <c r="R6" s="4" t="inlineStr">
        <is>
          <t>cable</t>
        </is>
      </c>
      <c r="S6" s="4" t="inlineStr">
        <is>
          <t>Chrome</t>
        </is>
      </c>
      <c r="T6" s="4" t="n">
        <v>15</v>
      </c>
      <c r="U6" s="43" t="inlineStr">
        <is>
          <t>few times a year</t>
        </is>
      </c>
      <c r="V6" s="4" t="inlineStr">
        <is>
          <t>Am, MM</t>
        </is>
      </c>
      <c r="W6" s="4" t="inlineStr">
        <is>
          <t>price</t>
        </is>
      </c>
      <c r="X6" s="43" t="inlineStr">
        <is>
          <t>n</t>
        </is>
      </c>
      <c r="Y6" s="4" t="inlineStr">
        <is>
          <t>n</t>
        </is>
      </c>
      <c r="Z6" s="43" t="inlineStr">
        <is>
          <t>N/A</t>
        </is>
      </c>
    </row>
    <row r="7">
      <c r="A7" s="2" t="inlineStr">
        <is>
          <t>TP3</t>
        </is>
      </c>
      <c r="B7" s="38" t="inlineStr">
        <is>
          <t>"Chloe"</t>
        </is>
      </c>
      <c r="C7" s="72" t="inlineStr">
        <is>
          <t>woman</t>
        </is>
      </c>
      <c r="D7" s="52" t="n">
        <v>19</v>
      </c>
      <c r="E7" s="38" t="inlineStr">
        <is>
          <t>Student</t>
        </is>
      </c>
      <c r="F7" s="4" t="inlineStr">
        <is>
          <t>Vocational Train.</t>
        </is>
      </c>
      <c r="G7" s="4" t="inlineStr">
        <is>
          <t>Cooking</t>
        </is>
      </c>
      <c r="H7" s="15" t="inlineStr">
        <is>
          <t>Windows</t>
        </is>
      </c>
      <c r="I7" s="52" t="n">
        <v>8</v>
      </c>
      <c r="J7" s="52" t="inlineStr">
        <is>
          <t>17.5</t>
        </is>
      </c>
      <c r="K7" s="15" t="inlineStr">
        <is>
          <t>Android</t>
        </is>
      </c>
      <c r="L7" s="52" t="n">
        <v>30</v>
      </c>
      <c r="M7" s="52" t="n">
        <v>60</v>
      </c>
      <c r="N7" s="15" t="inlineStr">
        <is>
          <t>Apple</t>
        </is>
      </c>
      <c r="O7" s="52" t="n">
        <v>12</v>
      </c>
      <c r="P7" s="52" t="n">
        <v>60</v>
      </c>
      <c r="Q7" t="inlineStr">
        <is>
          <t>smartphone</t>
        </is>
      </c>
      <c r="R7" s="4" t="inlineStr">
        <is>
          <t>5G</t>
        </is>
      </c>
      <c r="S7" s="4" t="inlineStr">
        <is>
          <t>Chrome</t>
        </is>
      </c>
      <c r="T7" s="4" t="n">
        <v>20</v>
      </c>
      <c r="U7" s="43" t="inlineStr">
        <is>
          <t>few times a year</t>
        </is>
      </c>
      <c r="V7" s="4" t="inlineStr">
        <is>
          <t>Am, MM, Ref</t>
        </is>
      </c>
      <c r="W7" s="4" t="inlineStr">
        <is>
          <t>price</t>
        </is>
      </c>
      <c r="X7" s="43" t="inlineStr">
        <is>
          <t>n</t>
        </is>
      </c>
      <c r="Y7" s="4" t="inlineStr">
        <is>
          <t>n</t>
        </is>
      </c>
      <c r="Z7" s="43" t="inlineStr">
        <is>
          <t>N/A</t>
        </is>
      </c>
    </row>
    <row r="8">
      <c r="A8" s="2" t="inlineStr">
        <is>
          <t>TP4</t>
        </is>
      </c>
      <c r="B8" s="38" t="inlineStr">
        <is>
          <t>"Jack"</t>
        </is>
      </c>
      <c r="C8" s="72" t="inlineStr">
        <is>
          <t>man</t>
        </is>
      </c>
      <c r="D8" s="52" t="n">
        <v>29</v>
      </c>
      <c r="E8" s="38" t="inlineStr">
        <is>
          <t>Student</t>
        </is>
      </c>
      <c r="F8" s="4" t="inlineStr">
        <is>
          <t>Vocational Train.</t>
        </is>
      </c>
      <c r="G8" s="4" t="inlineStr">
        <is>
          <t>Embedded Software</t>
        </is>
      </c>
      <c r="H8" s="15" t="inlineStr">
        <is>
          <t>Windows</t>
        </is>
      </c>
      <c r="I8" s="52" t="n">
        <v>15</v>
      </c>
      <c r="J8" s="52" t="n">
        <v>55</v>
      </c>
      <c r="K8" s="15" t="inlineStr">
        <is>
          <t>none</t>
        </is>
      </c>
      <c r="L8" s="52" t="n">
        <v>0</v>
      </c>
      <c r="M8" s="52" t="n">
        <v>21</v>
      </c>
      <c r="N8" s="15" t="inlineStr">
        <is>
          <t>Android</t>
        </is>
      </c>
      <c r="O8" s="52" t="n">
        <v>14</v>
      </c>
      <c r="P8" s="52" t="n">
        <v>21</v>
      </c>
      <c r="Q8" t="inlineStr">
        <is>
          <t>laptop</t>
        </is>
      </c>
      <c r="R8" s="4" t="inlineStr">
        <is>
          <t>cable</t>
        </is>
      </c>
      <c r="S8" s="4" t="inlineStr">
        <is>
          <t>Firefox</t>
        </is>
      </c>
      <c r="T8" s="4" t="n">
        <v>30</v>
      </c>
      <c r="U8" s="43" t="inlineStr">
        <is>
          <t>few times a year</t>
        </is>
      </c>
      <c r="V8" s="4" t="inlineStr">
        <is>
          <t>Am, Alibaba</t>
        </is>
      </c>
      <c r="W8" s="4" t="inlineStr">
        <is>
          <t>price</t>
        </is>
      </c>
      <c r="X8" s="43" t="inlineStr">
        <is>
          <t>n</t>
        </is>
      </c>
      <c r="Y8" s="4" t="inlineStr">
        <is>
          <t>n</t>
        </is>
      </c>
      <c r="Z8" s="43" t="inlineStr">
        <is>
          <t>N/A</t>
        </is>
      </c>
    </row>
    <row r="9">
      <c r="A9" s="19" t="inlineStr">
        <is>
          <t>TP5</t>
        </is>
      </c>
      <c r="B9" s="62" t="inlineStr">
        <is>
          <t>"Ethan"</t>
        </is>
      </c>
      <c r="C9" s="73" t="inlineStr">
        <is>
          <t>man</t>
        </is>
      </c>
      <c r="D9" s="53" t="n">
        <v>24</v>
      </c>
      <c r="E9" s="38" t="inlineStr">
        <is>
          <t>Student</t>
        </is>
      </c>
      <c r="F9" s="20" t="inlineStr">
        <is>
          <t>Bachelor</t>
        </is>
      </c>
      <c r="G9" s="20" t="inlineStr">
        <is>
          <t>Industrial Engineering</t>
        </is>
      </c>
      <c r="H9" s="21" t="inlineStr">
        <is>
          <t>Apple Mac.</t>
        </is>
      </c>
      <c r="I9" s="54" t="n">
        <v>15</v>
      </c>
      <c r="J9" s="54" t="n">
        <v>56</v>
      </c>
      <c r="K9" s="21" t="inlineStr">
        <is>
          <t>none</t>
        </is>
      </c>
      <c r="L9" s="54" t="n">
        <v>0</v>
      </c>
      <c r="M9" s="54" t="n">
        <v>14</v>
      </c>
      <c r="N9" s="21" t="inlineStr">
        <is>
          <t>Apple</t>
        </is>
      </c>
      <c r="O9" s="54" t="n">
        <v>12</v>
      </c>
      <c r="P9" s="54" t="n">
        <v>14</v>
      </c>
      <c r="Q9" s="22" t="inlineStr">
        <is>
          <t>laptop</t>
        </is>
      </c>
      <c r="R9" s="20" t="inlineStr">
        <is>
          <t>wifi</t>
        </is>
      </c>
      <c r="S9" s="22" t="inlineStr">
        <is>
          <t>Safari</t>
        </is>
      </c>
      <c r="T9" s="20" t="n">
        <v>28</v>
      </c>
      <c r="U9" s="20" t="inlineStr">
        <is>
          <t>never</t>
        </is>
      </c>
      <c r="V9" s="20" t="inlineStr">
        <is>
          <t>Am</t>
        </is>
      </c>
      <c r="W9" s="20" t="inlineStr">
        <is>
          <t>price</t>
        </is>
      </c>
      <c r="X9" s="61" t="inlineStr">
        <is>
          <t>n</t>
        </is>
      </c>
      <c r="Y9" s="20" t="inlineStr">
        <is>
          <t>n</t>
        </is>
      </c>
      <c r="Z9" s="43" t="inlineStr">
        <is>
          <t>N/A</t>
        </is>
      </c>
    </row>
    <row r="10" ht="13.5" customHeight="1" thickBot="1">
      <c r="I10" s="18" t="n"/>
      <c r="J10" s="18" t="n"/>
      <c r="L10" s="18" t="n"/>
      <c r="M10" s="18" t="n"/>
      <c r="O10" s="18" t="n"/>
      <c r="P10" s="18" t="n"/>
    </row>
    <row r="11">
      <c r="A11" s="24" t="n"/>
      <c r="B11" s="26" t="inlineStr">
        <is>
          <t>Mean</t>
        </is>
      </c>
      <c r="C11" s="5" t="n"/>
      <c r="D11" s="51">
        <f>AVERAGE(D5:D9)</f>
        <v/>
      </c>
      <c r="E11" s="17" t="n"/>
      <c r="F11" s="17" t="n"/>
      <c r="G11" s="17" t="n"/>
      <c r="H11" s="40" t="inlineStr">
        <is>
          <t>3 × Windows</t>
        </is>
      </c>
      <c r="I11" s="45">
        <f>AVERAGE(I5:I9)</f>
        <v/>
      </c>
      <c r="J11" s="45">
        <f>AVERAGE(J5:J9)</f>
        <v/>
      </c>
      <c r="K11" s="40" t="inlineStr">
        <is>
          <t>2 × iOS</t>
        </is>
      </c>
      <c r="L11" s="45">
        <f>AVERAGE(L5:L9)</f>
        <v/>
      </c>
      <c r="M11" s="45">
        <f>AVERAGE(M5:M9)</f>
        <v/>
      </c>
      <c r="N11" s="40" t="inlineStr">
        <is>
          <t>3 × Android</t>
        </is>
      </c>
      <c r="O11" s="45">
        <f>AVERAGE(O5:O9)</f>
        <v/>
      </c>
      <c r="P11" s="45">
        <f>AVERAGE(P5:P9)</f>
        <v/>
      </c>
      <c r="Q11" s="17" t="n"/>
      <c r="R11" s="17" t="n"/>
      <c r="S11" s="40" t="inlineStr">
        <is>
          <t>3 × Firefox</t>
        </is>
      </c>
      <c r="T11" s="45">
        <f>AVERAGE(T5:T9)</f>
        <v/>
      </c>
    </row>
    <row r="12" ht="13.5" customHeight="1" thickBot="1">
      <c r="A12" s="24" t="n"/>
      <c r="B12" s="26" t="inlineStr">
        <is>
          <t>Median</t>
        </is>
      </c>
      <c r="C12" s="5" t="n"/>
      <c r="D12" s="28">
        <f>MEDIAN(D5:D9)</f>
        <v/>
      </c>
      <c r="H12" t="inlineStr">
        <is>
          <t>1 × Mac</t>
        </is>
      </c>
      <c r="I12" s="28">
        <f>MEDIAN(I5:I9)</f>
        <v/>
      </c>
      <c r="J12" s="28">
        <f>MEDIAN(J5:J9)</f>
        <v/>
      </c>
      <c r="K12" t="inlineStr">
        <is>
          <t>1 × Android</t>
        </is>
      </c>
      <c r="L12" s="28">
        <f>MEDIAN(L5:L9)</f>
        <v/>
      </c>
      <c r="M12" s="28">
        <f>MEDIAN(M5:M9)</f>
        <v/>
      </c>
      <c r="N12" t="inlineStr">
        <is>
          <t>2 × iOS</t>
        </is>
      </c>
      <c r="O12" s="28">
        <f>MEDIAN(O5:O9)</f>
        <v/>
      </c>
      <c r="P12" s="28">
        <f>MEDIAN(P5:P9)</f>
        <v/>
      </c>
      <c r="S12" s="40" t="inlineStr">
        <is>
          <t>1 × Chrome</t>
        </is>
      </c>
      <c r="T12" s="28">
        <f>MEDIAN(T5:T9)</f>
        <v/>
      </c>
    </row>
    <row r="13">
      <c r="H13" t="inlineStr">
        <is>
          <t>1 × Unix</t>
        </is>
      </c>
      <c r="K13" t="inlineStr">
        <is>
          <t>2 × none</t>
        </is>
      </c>
      <c r="S13" s="40" t="inlineStr">
        <is>
          <t>1 × Edge</t>
        </is>
      </c>
      <c r="T13" s="40" t="n"/>
    </row>
  </sheetData>
  <mergeCells count="2">
    <mergeCell ref="U3:W3"/>
    <mergeCell ref="X3:Y3"/>
  </mergeCells>
  <pageMargins left="0.75" right="0.75" top="1" bottom="1" header="0.4921259845" footer="0.4921259845"/>
  <pageSetup orientation="portrait" paperSize="9" horizontalDpi="1200" verticalDpi="1200"/>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E26" sqref="E26"/>
    </sheetView>
  </sheetViews>
  <sheetFormatPr baseColWidth="10" defaultColWidth="11.42578125" defaultRowHeight="12.75"/>
  <cols>
    <col width="9.5703125" bestFit="1" customWidth="1" min="1" max="1"/>
    <col width="12.140625" bestFit="1" customWidth="1" style="23" min="2" max="2"/>
    <col width="19.7109375" customWidth="1" min="3" max="3"/>
    <col width="15.7109375" customWidth="1" min="4" max="4"/>
    <col width="11.7109375" customWidth="1" min="5" max="5"/>
    <col width="10.7109375" customWidth="1" min="6" max="7"/>
  </cols>
  <sheetData>
    <row r="1">
      <c r="A1" s="6" t="inlineStr">
        <is>
          <t>Task Success</t>
        </is>
      </c>
    </row>
    <row r="3">
      <c r="C3" s="35" t="inlineStr">
        <is>
          <t>Task Success (Effectiveness: 0=failure, 1=success)</t>
        </is>
      </c>
      <c r="D3" s="36" t="n"/>
      <c r="E3" s="37" t="n"/>
      <c r="F3" s="25" t="n"/>
      <c r="G3" s="25" t="n"/>
    </row>
    <row r="4" ht="13.5" customHeight="1" thickBot="1">
      <c r="A4" s="31" t="inlineStr">
        <is>
          <t>User</t>
        </is>
      </c>
      <c r="B4" s="3" t="inlineStr">
        <is>
          <t>Alias</t>
        </is>
      </c>
      <c r="C4" s="25" t="inlineStr">
        <is>
          <t>1 First Impressions</t>
        </is>
      </c>
      <c r="D4" s="25" t="inlineStr">
        <is>
          <t>2 Find product</t>
        </is>
      </c>
      <c r="E4" s="25" t="inlineStr">
        <is>
          <t>3 Best of one</t>
        </is>
      </c>
      <c r="F4" s="25" t="inlineStr">
        <is>
          <t>4 Build PC</t>
        </is>
      </c>
      <c r="G4" s="25" t="inlineStr">
        <is>
          <t>5 Account</t>
        </is>
      </c>
    </row>
    <row r="5">
      <c r="A5" s="2" t="inlineStr">
        <is>
          <t>TP1 (Pilot)</t>
        </is>
      </c>
      <c r="B5" s="38" t="inlineStr">
        <is>
          <t>"Emma"</t>
        </is>
      </c>
      <c r="C5" s="27" t="n">
        <v>1</v>
      </c>
      <c r="D5" s="27" t="n">
        <v>1</v>
      </c>
      <c r="E5" s="27" t="n">
        <v>1</v>
      </c>
      <c r="F5" s="27" t="n">
        <v>1</v>
      </c>
      <c r="G5" s="27" t="n">
        <v>1</v>
      </c>
    </row>
    <row r="6">
      <c r="A6" s="2" t="inlineStr">
        <is>
          <t>TP2</t>
        </is>
      </c>
      <c r="B6" s="38" t="inlineStr">
        <is>
          <t>"Lily"</t>
        </is>
      </c>
      <c r="C6" s="27" t="n">
        <v>1</v>
      </c>
      <c r="D6" s="27" t="n">
        <v>0</v>
      </c>
      <c r="E6" s="27" t="n">
        <v>1</v>
      </c>
      <c r="F6" s="27" t="n">
        <v>0</v>
      </c>
      <c r="G6" s="27" t="n">
        <v>1</v>
      </c>
    </row>
    <row r="7">
      <c r="A7" s="2" t="inlineStr">
        <is>
          <t>TP3</t>
        </is>
      </c>
      <c r="B7" s="38" t="inlineStr">
        <is>
          <t>"Chloe"</t>
        </is>
      </c>
      <c r="C7" s="27" t="n">
        <v>1</v>
      </c>
      <c r="D7" s="27" t="n">
        <v>0</v>
      </c>
      <c r="E7" s="27" t="n">
        <v>0</v>
      </c>
      <c r="F7" s="27" t="n">
        <v>0</v>
      </c>
      <c r="G7" s="27" t="n">
        <v>1</v>
      </c>
    </row>
    <row r="8">
      <c r="A8" s="2" t="inlineStr">
        <is>
          <t>TP4</t>
        </is>
      </c>
      <c r="B8" s="38" t="inlineStr">
        <is>
          <t>"Jack"</t>
        </is>
      </c>
      <c r="C8" s="27" t="n">
        <v>1</v>
      </c>
      <c r="D8" s="27" t="n">
        <v>1</v>
      </c>
      <c r="E8" s="27" t="n">
        <v>1</v>
      </c>
      <c r="F8" s="27" t="n">
        <v>1</v>
      </c>
      <c r="G8" s="27" t="n">
        <v>1</v>
      </c>
    </row>
    <row r="9" ht="13.5" customHeight="1" thickBot="1">
      <c r="A9" s="19" t="inlineStr">
        <is>
          <t>TP5</t>
        </is>
      </c>
      <c r="B9" s="62" t="inlineStr">
        <is>
          <t>"Ethan"</t>
        </is>
      </c>
      <c r="C9" s="27" t="n">
        <v>1</v>
      </c>
      <c r="D9" s="27" t="n">
        <v>1</v>
      </c>
      <c r="E9" s="27" t="n">
        <v>0</v>
      </c>
      <c r="F9" s="27" t="n">
        <v>1</v>
      </c>
      <c r="G9" s="27" t="n">
        <v>1</v>
      </c>
    </row>
    <row r="10" ht="13.5" customHeight="1" thickBot="1">
      <c r="A10" s="24" t="n"/>
      <c r="B10" s="24" t="inlineStr">
        <is>
          <t>Sum</t>
        </is>
      </c>
      <c r="C10" s="44">
        <f>SUM(C5:C9)</f>
        <v/>
      </c>
      <c r="D10" s="44">
        <f>SUM(D5:D9)</f>
        <v/>
      </c>
      <c r="E10" s="44">
        <f>SUM(E5:E9)</f>
        <v/>
      </c>
      <c r="F10" s="44">
        <f>SUM(F5:F9)</f>
        <v/>
      </c>
      <c r="G10" s="44">
        <f>SUM(G5:G9)</f>
        <v/>
      </c>
    </row>
    <row r="11">
      <c r="A11" s="24" t="n"/>
      <c r="B11" s="24" t="inlineStr">
        <is>
          <t>Percent</t>
        </is>
      </c>
      <c r="C11" s="49">
        <f>SUM(C5:C9)/COUNT(C5:C9)</f>
        <v/>
      </c>
      <c r="D11" s="49">
        <f>SUM(D5:D9)/COUNT(D5:D9)</f>
        <v/>
      </c>
      <c r="E11" s="49">
        <f>SUM(E5:E9)/COUNT(E5:E9)</f>
        <v/>
      </c>
      <c r="F11" s="49">
        <f>SUM(F5:F9)/COUNT(F5:F9)</f>
        <v/>
      </c>
      <c r="G11" s="49">
        <f>SUM(G5:G9)/COUNT(G5:G9)</f>
        <v/>
      </c>
    </row>
  </sheetData>
  <pageMargins left="0.75" right="0.75" top="1" bottom="1" header="0.4921259845" footer="0.4921259845"/>
  <pageSetup orientation="portrait" paperSize="9" horizontalDpi="4294967292" verticalDpi="1200"/>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C19" sqref="C19"/>
    </sheetView>
  </sheetViews>
  <sheetFormatPr baseColWidth="10" defaultColWidth="9.140625" defaultRowHeight="12.75"/>
  <cols>
    <col width="4" customWidth="1" min="1" max="1"/>
    <col width="36.140625" customWidth="1" min="2" max="2"/>
    <col width="35.140625" customWidth="1" min="3" max="3"/>
    <col width="34.42578125" customWidth="1" min="4" max="4"/>
    <col width="25.85546875" customWidth="1" min="5" max="5"/>
    <col width="29" customWidth="1" min="6" max="6"/>
    <col width="4.5703125" customWidth="1" style="55" min="7" max="10"/>
    <col width="6.140625" customWidth="1" style="55" min="11" max="11"/>
  </cols>
  <sheetData>
    <row r="1">
      <c r="A1" s="6" t="inlineStr">
        <is>
          <t>Negative Findings (Problems)</t>
        </is>
      </c>
    </row>
    <row r="3">
      <c r="G3" s="58" t="inlineStr">
        <is>
          <t>Severity</t>
        </is>
      </c>
    </row>
    <row r="4" ht="13.5" customFormat="1" customHeight="1" s="56" thickBot="1">
      <c r="A4" s="60" t="inlineStr">
        <is>
          <t>No.</t>
        </is>
      </c>
      <c r="B4" s="60" t="inlineStr">
        <is>
          <t>Short Title</t>
        </is>
      </c>
      <c r="C4" s="60" t="inlineStr">
        <is>
          <t>Description</t>
        </is>
      </c>
      <c r="D4" s="60" t="inlineStr">
        <is>
          <t>Video Clip(s)</t>
        </is>
      </c>
      <c r="E4" s="60" t="inlineStr">
        <is>
          <t>Timestamp(s)</t>
        </is>
      </c>
      <c r="F4" s="60" t="inlineStr">
        <is>
          <t>Location (How Reproducible?)</t>
        </is>
      </c>
      <c r="G4" s="57" t="inlineStr">
        <is>
          <t>SJ</t>
        </is>
      </c>
      <c r="H4" s="57" t="inlineStr">
        <is>
          <t>LR</t>
        </is>
      </c>
      <c r="I4" s="57" t="inlineStr">
        <is>
          <t>DC</t>
        </is>
      </c>
      <c r="J4" s="57" t="inlineStr">
        <is>
          <t>FM</t>
        </is>
      </c>
      <c r="K4" s="59" t="inlineStr">
        <is>
          <t>Mean</t>
        </is>
      </c>
    </row>
    <row r="5" ht="38.25" customHeight="1">
      <c r="A5" s="68" t="n">
        <v>1</v>
      </c>
      <c r="B5" s="69" t="inlineStr">
        <is>
          <t>Review Click Triggers CAPTCHA and Redirects to Login</t>
        </is>
      </c>
      <c r="C5" s="69" t="inlineStr">
        <is>
          <t>Clicking on the review count on a product page triggered an English-language CAPTCHA and then redirected the user to the login page.</t>
        </is>
      </c>
      <c r="D5" s="65" t="inlineStr">
        <is>
          <t>n01-tp5-captcha-redirect.mp4</t>
        </is>
      </c>
      <c r="E5" s="65" t="inlineStr">
        <is>
          <t>TP5 00:03:00</t>
        </is>
      </c>
      <c r="F5" s="69" t="inlineStr">
        <is>
          <t>Any product page with reviews, when clicking on the review count</t>
        </is>
      </c>
      <c r="G5" s="66" t="n">
        <v>3</v>
      </c>
      <c r="H5" s="66" t="n">
        <v>3</v>
      </c>
      <c r="I5" s="66" t="n">
        <v>3</v>
      </c>
      <c r="J5" s="66" t="n">
        <v>4</v>
      </c>
      <c r="K5" s="67">
        <f>AVERAGE(G5:J5)</f>
        <v/>
      </c>
    </row>
    <row r="6" ht="38.25" customHeight="1">
      <c r="A6" s="63" t="n">
        <v>2</v>
      </c>
      <c r="B6" s="64" t="inlineStr">
        <is>
          <t>Comparison Labels Overlap Content</t>
        </is>
      </c>
      <c r="C6" s="64" t="inlineStr">
        <is>
          <t>Scrolling horizontally within the comparison element causes specification parameters to become misaligned and overlap details</t>
        </is>
      </c>
      <c r="D6" s="63" t="inlineStr">
        <is>
          <t>n02-tp1-overlapping-bug.mp4</t>
        </is>
      </c>
      <c r="E6" s="63" t="inlineStr">
        <is>
          <t>TP1 00:10:58</t>
        </is>
      </c>
      <c r="F6" s="64" t="inlineStr">
        <is>
          <t>Search for "rx 9060 xt"  → click on a graphics card → Alternatives → Compare all alternatives</t>
        </is>
      </c>
      <c r="G6" s="66" t="n">
        <v>3</v>
      </c>
      <c r="H6" s="66" t="n">
        <v>3</v>
      </c>
      <c r="I6" s="66" t="n">
        <v>3</v>
      </c>
      <c r="J6" s="66" t="n">
        <v>3</v>
      </c>
      <c r="K6" s="67">
        <f>AVERAGE(G6:J6)</f>
        <v/>
      </c>
    </row>
    <row r="7" ht="51" customHeight="1">
      <c r="A7" s="68" t="n">
        <v>3</v>
      </c>
      <c r="B7" s="69" t="inlineStr">
        <is>
          <t>No Visual Feedback When Adding PC Component</t>
        </is>
      </c>
      <c r="C7" s="69" t="inlineStr">
        <is>
          <t>After adding a power supply unit in the PC Builder, no confirmation message or visual change is shown. The user added the same product three times without realising it.</t>
        </is>
      </c>
      <c r="D7" s="65" t="inlineStr">
        <is>
          <t>n03-tp5-pc-builder-no-feedback.mp4</t>
        </is>
      </c>
      <c r="E7" s="65" t="inlineStr">
        <is>
          <t>TP5 00:15:40</t>
        </is>
      </c>
      <c r="F7" s="69" t="inlineStr">
        <is>
          <t>PC Builder → last component selection</t>
        </is>
      </c>
      <c r="G7" s="66" t="n">
        <v>3</v>
      </c>
      <c r="H7" s="66" t="n">
        <v>3</v>
      </c>
      <c r="I7" s="66" t="n">
        <v>3</v>
      </c>
      <c r="J7" s="66" t="n">
        <v>3</v>
      </c>
      <c r="K7" s="67">
        <f>AVERAGE(G7:J7)</f>
        <v/>
      </c>
    </row>
    <row r="8" ht="51" customHeight="1">
      <c r="A8" s="68" t="n">
        <v>4</v>
      </c>
      <c r="B8" s="69" t="inlineStr">
        <is>
          <t>Duplicate Data Entry Required at Checkout</t>
        </is>
      </c>
      <c r="C8" s="69" t="inlineStr">
        <is>
          <t>During checkout, the user was asked to enter personal information that had already been provided during registration.</t>
        </is>
      </c>
      <c r="D8" s="65" t="inlineStr">
        <is>
          <t>n04-tp5-duplicate-checkout-data.mp4</t>
        </is>
      </c>
      <c r="E8" s="65" t="inlineStr">
        <is>
          <t>TP5 00:20:40</t>
        </is>
      </c>
      <c r="F8" s="69" t="inlineStr">
        <is>
          <t>Checkout → payment step, first checkout after registration (it should take information eg. adres from registration form, bcs we inserted it there)</t>
        </is>
      </c>
      <c r="G8" s="66" t="n">
        <v>2</v>
      </c>
      <c r="H8" s="66" t="n">
        <v>3</v>
      </c>
      <c r="I8" s="66" t="n">
        <v>2</v>
      </c>
      <c r="J8" s="66" t="n">
        <v>4</v>
      </c>
      <c r="K8" s="67">
        <f>AVERAGE(G8:J8)</f>
        <v/>
      </c>
    </row>
    <row r="9" ht="38.25" customHeight="1">
      <c r="A9" s="63" t="n">
        <v>5</v>
      </c>
      <c r="B9" s="64" t="inlineStr">
        <is>
          <t>Missing Apple Subcategory</t>
        </is>
      </c>
      <c r="C9" s="64" t="inlineStr">
        <is>
          <t>User cannot find Apple subcategory under Computers, where they expected to find it in order to find the required product.</t>
        </is>
      </c>
      <c r="D9" s="63" t="inlineStr">
        <is>
          <t>n05-tp2-no-apple-subcategory.mp4</t>
        </is>
      </c>
      <c r="E9" s="63" t="inlineStr">
        <is>
          <t>TP2 00:06:49</t>
        </is>
      </c>
      <c r="F9" s="64" t="inlineStr">
        <is>
          <t>Homepage → Computers and Laptops</t>
        </is>
      </c>
      <c r="G9" s="66" t="n">
        <v>2</v>
      </c>
      <c r="H9" s="66" t="n">
        <v>3</v>
      </c>
      <c r="I9" s="66" t="n">
        <v>3</v>
      </c>
      <c r="J9" s="66" t="n">
        <v>2</v>
      </c>
      <c r="K9" s="67">
        <f>AVERAGE(G9:J9)</f>
        <v/>
      </c>
    </row>
    <row r="10" ht="51" customHeight="1">
      <c r="A10" s="68" t="n">
        <v>6</v>
      </c>
      <c r="B10" s="69" t="inlineStr">
        <is>
          <t>Clicking on Product Image Does Not Open Product</t>
        </is>
      </c>
      <c r="C10" s="69" t="inlineStr">
        <is>
          <t>On search results pages, clicking the product image does nothing. Only clicking the product name navigates to the product page.</t>
        </is>
      </c>
      <c r="D10" s="65" t="inlineStr">
        <is>
          <t>n06-tp5-image-not-clickable.mp4</t>
        </is>
      </c>
      <c r="E10" s="65" t="inlineStr">
        <is>
          <t>TP5 00:06:30</t>
        </is>
      </c>
      <c r="F10" s="69" t="inlineStr">
        <is>
          <t>Search results page, on every product listing</t>
        </is>
      </c>
      <c r="G10" s="66" t="n">
        <v>2</v>
      </c>
      <c r="H10" s="66" t="n">
        <v>3</v>
      </c>
      <c r="I10" s="66" t="n">
        <v>2</v>
      </c>
      <c r="J10" s="66" t="n">
        <v>3</v>
      </c>
      <c r="K10" s="67">
        <f>AVERAGE(G10:J10)</f>
        <v/>
      </c>
    </row>
    <row r="11" ht="51" customHeight="1">
      <c r="A11" s="63" t="n">
        <v>7</v>
      </c>
      <c r="B11" s="64" t="inlineStr">
        <is>
          <t>Wrong Language Text</t>
        </is>
      </c>
      <c r="C11" s="69" t="inlineStr">
        <is>
          <t>The interface element "Spare mit Rabattcodes" remains in German even when the website is set to English</t>
        </is>
      </c>
      <c r="D11" s="69" t="inlineStr">
        <is>
          <t>n07-tp1-wrong-language.mp4, n07-tp2-random-another-language.mp4</t>
        </is>
      </c>
      <c r="E11" s="69" t="inlineStr">
        <is>
          <t>TP1 00:02:00</t>
        </is>
      </c>
      <c r="F11" s="69" t="inlineStr">
        <is>
          <t>Homepage → scroll down to category "Spare mit Rabattcodes"</t>
        </is>
      </c>
      <c r="G11" s="66" t="n">
        <v>2</v>
      </c>
      <c r="H11" s="66" t="n">
        <v>3</v>
      </c>
      <c r="I11" s="66" t="n">
        <v>2</v>
      </c>
      <c r="J11" s="66" t="n">
        <v>2</v>
      </c>
      <c r="K11" s="67">
        <f>AVERAGE(G11:J11)</f>
        <v/>
      </c>
    </row>
    <row r="12" ht="63.75" customHeight="1">
      <c r="A12" s="63" t="n">
        <v>8</v>
      </c>
      <c r="B12" s="64" t="inlineStr">
        <is>
          <t>Little Filtering Options</t>
        </is>
      </c>
      <c r="C12" s="64" t="inlineStr">
        <is>
          <t>The user needs to find a product of a certain type but can't use filtering options to get to this product after searching.</t>
        </is>
      </c>
      <c r="D12" s="63" t="inlineStr">
        <is>
          <t>n08-tp2-little-filtering.mp4</t>
        </is>
      </c>
      <c r="E12" s="63" t="inlineStr">
        <is>
          <t>TP2 00:07:28</t>
        </is>
      </c>
      <c r="F12" s="69" t="inlineStr">
        <is>
          <t>Search for "apple ma"</t>
        </is>
      </c>
      <c r="G12" s="66" t="n">
        <v>2</v>
      </c>
      <c r="H12" s="66" t="n">
        <v>2</v>
      </c>
      <c r="I12" s="66" t="n">
        <v>2</v>
      </c>
      <c r="J12" s="66" t="n">
        <v>3</v>
      </c>
      <c r="K12" s="67">
        <f>AVERAGE(G12:J12)</f>
        <v/>
      </c>
    </row>
    <row r="13" ht="51" customHeight="1">
      <c r="A13" s="68" t="n">
        <v>9</v>
      </c>
      <c r="B13" s="69" t="inlineStr">
        <is>
          <t>PC Builder Has a Separate Shopping Cart</t>
        </is>
      </c>
      <c r="C13" s="69" t="inlineStr">
        <is>
          <t>The PC Builder uses its own separate shopping cart, independent of the main site cart. The user checked the main cart and was confused to find it empty.</t>
        </is>
      </c>
      <c r="D13" s="65" t="inlineStr">
        <is>
          <t>n09-tp5-pc-builder-separate-cart.mp4</t>
        </is>
      </c>
      <c r="E13" s="65" t="inlineStr">
        <is>
          <t>TP5 00:16:14</t>
        </is>
      </c>
      <c r="F13" s="69" t="inlineStr">
        <is>
          <t>PC Builder → whenever user finishes configuring a PC</t>
        </is>
      </c>
      <c r="G13" s="66" t="n">
        <v>2</v>
      </c>
      <c r="H13" s="66" t="n">
        <v>1</v>
      </c>
      <c r="I13" s="66" t="n">
        <v>3</v>
      </c>
      <c r="J13" s="66" t="n">
        <v>3</v>
      </c>
      <c r="K13" s="67">
        <f>AVERAGE(G13:J13)</f>
        <v/>
      </c>
    </row>
    <row r="14" ht="51" customHeight="1">
      <c r="A14" s="68" t="n">
        <v>10</v>
      </c>
      <c r="B14" s="69" t="inlineStr">
        <is>
          <t>Description of Motherboard socket is insufficient</t>
        </is>
      </c>
      <c r="C14" s="69" t="inlineStr">
        <is>
          <t>There is a short text explaining that not all CPUs fit on all Motherboards, but there is no closer description for that.</t>
        </is>
      </c>
      <c r="D14" s="65" t="inlineStr">
        <is>
          <t>n10-tp3-insufficient-description.mp4</t>
        </is>
      </c>
      <c r="E14" s="65" t="inlineStr">
        <is>
          <t>TP3 00:21:12</t>
        </is>
      </c>
      <c r="F14" s="69" t="inlineStr">
        <is>
          <t>PC Builder → Component selection → Processors</t>
        </is>
      </c>
      <c r="G14" s="55" t="n">
        <v>3</v>
      </c>
      <c r="H14" s="55" t="n">
        <v>2</v>
      </c>
      <c r="I14" t="n">
        <v>2</v>
      </c>
      <c r="J14" s="55" t="n">
        <v>2</v>
      </c>
      <c r="K14" s="67">
        <f>AVERAGE(G14:J14)</f>
        <v/>
      </c>
    </row>
    <row r="15" ht="51" customHeight="1">
      <c r="A15" s="68" t="n">
        <v>11</v>
      </c>
      <c r="B15" s="69" t="inlineStr">
        <is>
          <t>Overwhelming design for first experience</t>
        </is>
      </c>
      <c r="C15" s="69" t="inlineStr">
        <is>
          <t>The website has a lot of popups, flashy design decisions, overlays, advertisements and bright colors which hinder the experience, especially as a first time user.</t>
        </is>
      </c>
      <c r="D15" s="65" t="inlineStr">
        <is>
          <t>n11-tp4-overwhelming-design.mp4</t>
        </is>
      </c>
      <c r="E15" s="65" t="inlineStr">
        <is>
          <t>TP4 00:01:06</t>
        </is>
      </c>
      <c r="F15" s="69" t="inlineStr">
        <is>
          <t>Homepage</t>
        </is>
      </c>
      <c r="G15" s="55" t="n">
        <v>2</v>
      </c>
      <c r="H15" s="55" t="n">
        <v>2</v>
      </c>
      <c r="I15" t="n">
        <v>2</v>
      </c>
      <c r="J15" s="55" t="n">
        <v>3</v>
      </c>
      <c r="K15" s="67">
        <f>AVERAGE(G15:J15)</f>
        <v/>
      </c>
    </row>
    <row r="16" ht="63.75" customHeight="1">
      <c r="A16" s="63" t="n">
        <v>12</v>
      </c>
      <c r="B16" s="64" t="inlineStr">
        <is>
          <t>Visually Similar Search Results</t>
        </is>
      </c>
      <c r="C16" s="64" t="inlineStr">
        <is>
          <t>When the user searches for a MacBook, they note that the search results appear visually similar at first glance</t>
        </is>
      </c>
      <c r="D16" s="63" t="inlineStr">
        <is>
          <t>n12-tp1-similar-products.mp4</t>
        </is>
      </c>
      <c r="E16" s="63" t="inlineStr">
        <is>
          <t>TP1 00:05:31</t>
        </is>
      </c>
      <c r="F16" s="69" t="inlineStr">
        <is>
          <t>Search for "apple laptop 128gb ram"</t>
        </is>
      </c>
      <c r="G16" s="66" t="n">
        <v>2</v>
      </c>
      <c r="H16" s="66" t="n">
        <v>2</v>
      </c>
      <c r="I16" s="66" t="n">
        <v>2</v>
      </c>
      <c r="J16" s="66" t="n">
        <v>2</v>
      </c>
      <c r="K16" s="67">
        <f>AVERAGE(G16:J16)</f>
        <v/>
      </c>
    </row>
    <row r="17" ht="51" customHeight="1">
      <c r="A17" s="68" t="n">
        <v>13</v>
      </c>
      <c r="B17" s="69" t="inlineStr">
        <is>
          <t>PC Configurator Difficult to Find</t>
        </is>
      </c>
      <c r="C17" s="69" t="inlineStr">
        <is>
          <t>The user spent time looking for the PC Configurator before eventually locating it. No prominent link guides users to this feature from the homepage.</t>
        </is>
      </c>
      <c r="D17" s="65" t="inlineStr">
        <is>
          <t>n13-tp5-configurator-hard-to-find.mp4</t>
        </is>
      </c>
      <c r="E17" s="65" t="inlineStr">
        <is>
          <t>TP5 00:14:55</t>
        </is>
      </c>
      <c r="F17" s="69" t="inlineStr">
        <is>
          <t>Homepage and navigation menu</t>
        </is>
      </c>
      <c r="G17" s="66" t="n">
        <v>1</v>
      </c>
      <c r="H17" s="66" t="n">
        <v>2</v>
      </c>
      <c r="I17" s="66" t="n">
        <v>2</v>
      </c>
      <c r="J17" s="66" t="n">
        <v>3</v>
      </c>
      <c r="K17" s="67">
        <f>AVERAGE(G17:J17)</f>
        <v/>
      </c>
    </row>
    <row r="18" ht="51" customHeight="1">
      <c r="A18" s="68" t="n">
        <v>14</v>
      </c>
      <c r="B18" s="69" t="inlineStr">
        <is>
          <t>No Specification Preview on Product Cards</t>
        </is>
      </c>
      <c r="C18" s="69" t="inlineStr">
        <is>
          <t>When comparing graphics cards by recommended power source, the user had to open each product page individually as no key specs are shown on the listing cards.</t>
        </is>
      </c>
      <c r="D18" s="65" t="inlineStr">
        <is>
          <t>n14-tp5-no-spec-preview.mp4</t>
        </is>
      </c>
      <c r="E18" s="65" t="inlineStr">
        <is>
          <t>TP5 00:10:20</t>
        </is>
      </c>
      <c r="F18" s="69" t="inlineStr">
        <is>
          <t>Any product category listing page</t>
        </is>
      </c>
      <c r="G18" s="66" t="n">
        <v>1</v>
      </c>
      <c r="H18" s="66" t="n">
        <v>2</v>
      </c>
      <c r="I18" s="66" t="n">
        <v>2</v>
      </c>
      <c r="J18" s="66" t="n">
        <v>1</v>
      </c>
      <c r="K18" s="67">
        <f>AVERAGE(G18:J18)</f>
        <v/>
      </c>
    </row>
    <row r="19" ht="63.75" customHeight="1">
      <c r="A19" s="63" t="n">
        <v>15</v>
      </c>
      <c r="B19" s="64" t="inlineStr">
        <is>
          <t>Annoying Order by Midnight</t>
        </is>
      </c>
      <c r="C19" s="64" t="inlineStr">
        <is>
          <t>The user is annoyed by the AlzaBox banner  saying order by midnight at a lot of products</t>
        </is>
      </c>
      <c r="D19" s="63" t="inlineStr">
        <is>
          <t>n15-tp2-annoying-order-by-midnight.mp4</t>
        </is>
      </c>
      <c r="E19" s="63" t="inlineStr">
        <is>
          <t>TP2 00:20:49</t>
        </is>
      </c>
      <c r="F19" s="69" t="inlineStr">
        <is>
          <t>Homepage → Components → PC Builder → PC Configurator → Graphics Card</t>
        </is>
      </c>
      <c r="G19" s="66" t="n">
        <v>1</v>
      </c>
      <c r="H19" s="66" t="n">
        <v>1</v>
      </c>
      <c r="I19" s="66" t="n">
        <v>2</v>
      </c>
      <c r="J19" s="66" t="n">
        <v>1</v>
      </c>
      <c r="K19" s="67">
        <f>AVERAGE(G20:J20)</f>
        <v/>
      </c>
    </row>
    <row r="20" ht="63.75" customHeight="1">
      <c r="A20" s="63" t="n">
        <v>16</v>
      </c>
      <c r="B20" s="64" t="inlineStr">
        <is>
          <t>Unclear Meaning of Green Details</t>
        </is>
      </c>
      <c r="C20" s="64" t="inlineStr">
        <is>
          <t>The user is confused about the meaning of the green number indicators</t>
        </is>
      </c>
      <c r="D20" s="63" t="inlineStr">
        <is>
          <t>n16-tp1-unclear-green-details.mp4</t>
        </is>
      </c>
      <c r="E20" s="69" t="inlineStr">
        <is>
          <t>TP1 00:11:28</t>
        </is>
      </c>
      <c r="F20" s="64" t="inlineStr">
        <is>
          <t>Search for "rx 9060 xt"  → click on a graphics card → Alternatives → Compare all alternatives</t>
        </is>
      </c>
      <c r="G20" s="66" t="n">
        <v>1</v>
      </c>
      <c r="H20" s="66" t="n">
        <v>1</v>
      </c>
      <c r="I20" s="66" t="n">
        <v>1</v>
      </c>
      <c r="J20" s="66" t="n">
        <v>1</v>
      </c>
      <c r="K20" s="67">
        <f>AVERAGE(G21:J21)</f>
        <v/>
      </c>
    </row>
    <row r="21" ht="38.25" customHeight="1">
      <c r="A21" s="68" t="n"/>
      <c r="K21" s="67" t="n"/>
    </row>
    <row r="22" ht="63.75" customHeight="1"/>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K13"/>
  <sheetViews>
    <sheetView tabSelected="1" workbookViewId="0">
      <selection activeCell="D12" sqref="D12"/>
    </sheetView>
  </sheetViews>
  <sheetFormatPr baseColWidth="10" defaultColWidth="9.140625" defaultRowHeight="12.75"/>
  <cols>
    <col width="4" customWidth="1" min="1" max="1"/>
    <col width="36" customWidth="1" min="2" max="2"/>
    <col width="35.140625" customWidth="1" min="3" max="4"/>
    <col width="26.140625" customWidth="1" min="5" max="5"/>
    <col width="29.140625" customWidth="1" min="6" max="6"/>
    <col width="4.5703125" customWidth="1" style="55" min="7" max="10"/>
    <col width="5.85546875" customWidth="1" style="55" min="11" max="11"/>
  </cols>
  <sheetData>
    <row r="1">
      <c r="A1" s="6" t="inlineStr">
        <is>
          <t>Positive Findings</t>
        </is>
      </c>
    </row>
    <row r="3">
      <c r="G3" s="58" t="inlineStr">
        <is>
          <t>Positivity</t>
        </is>
      </c>
    </row>
    <row r="4" ht="13.5" customFormat="1" customHeight="1" s="56" thickBot="1">
      <c r="A4" s="60" t="inlineStr">
        <is>
          <t>No.</t>
        </is>
      </c>
      <c r="B4" s="60" t="inlineStr">
        <is>
          <t>Short Title</t>
        </is>
      </c>
      <c r="C4" s="60" t="inlineStr">
        <is>
          <t>Description</t>
        </is>
      </c>
      <c r="D4" s="60" t="inlineStr">
        <is>
          <t>Video Clip(s)</t>
        </is>
      </c>
      <c r="E4" s="60" t="inlineStr">
        <is>
          <t>Timestamp(s)</t>
        </is>
      </c>
      <c r="F4" s="60" t="inlineStr">
        <is>
          <t>Location (How Reproducible?)</t>
        </is>
      </c>
      <c r="G4" s="57" t="inlineStr">
        <is>
          <t>SJ</t>
        </is>
      </c>
      <c r="H4" s="57" t="inlineStr">
        <is>
          <t>LR</t>
        </is>
      </c>
      <c r="I4" s="57" t="inlineStr">
        <is>
          <t>DC</t>
        </is>
      </c>
      <c r="J4" s="57" t="inlineStr">
        <is>
          <t>FM</t>
        </is>
      </c>
      <c r="K4" s="59" t="inlineStr">
        <is>
          <t>Mean</t>
        </is>
      </c>
    </row>
    <row r="5" ht="25.5" customHeight="1">
      <c r="A5" s="63" t="n">
        <v>1</v>
      </c>
      <c r="B5" s="64" t="inlineStr">
        <is>
          <t>PC Builder Guides User Through Build Steps</t>
        </is>
      </c>
      <c r="C5" s="64" t="inlineStr">
        <is>
          <t>The PC Builder tool prompts the user to select components in a logical order and suggests compatible parts at each step. The user completed the full build quickly and smoothly once they had found the configurator.</t>
        </is>
      </c>
      <c r="D5" s="64" t="inlineStr">
        <is>
          <t>p01-tp4-pc-builder-components.mp4, p01-tp5-pc-builder-guides-steps.mp4</t>
        </is>
      </c>
      <c r="E5" s="64" t="inlineStr">
        <is>
          <t>TP4 00:15:50, TP5 00:14:51</t>
        </is>
      </c>
      <c r="F5" s="64" t="inlineStr">
        <is>
          <t>PC Builder, whenever a user configures a PC</t>
        </is>
      </c>
      <c r="G5" s="66" t="n">
        <v>2</v>
      </c>
      <c r="H5" s="66" t="n">
        <v>3</v>
      </c>
      <c r="I5" s="66" t="n">
        <v>3</v>
      </c>
      <c r="J5" s="66" t="n">
        <v>4</v>
      </c>
      <c r="K5" s="67">
        <f>AVERAGE(G5:J5)</f>
        <v/>
      </c>
    </row>
    <row r="6" ht="25.5" customHeight="1">
      <c r="A6" s="63" t="n">
        <v>2</v>
      </c>
      <c r="B6" s="64" t="inlineStr">
        <is>
          <t>Search filters are well designed and work smoothly</t>
        </is>
      </c>
      <c r="C6" s="64" t="inlineStr">
        <is>
          <t>The search filter of the website is really neat and even has some more in depth search filters like the minimum recommended power source of a product.</t>
        </is>
      </c>
      <c r="D6" s="64" t="inlineStr">
        <is>
          <t>p02-tp3-good-filters.mp4</t>
        </is>
      </c>
      <c r="E6" s="64" t="inlineStr">
        <is>
          <t>TP3 00:07:25</t>
        </is>
      </c>
      <c r="F6" s="64" t="inlineStr">
        <is>
          <t>Homepage → product category → filters on the left side</t>
        </is>
      </c>
      <c r="G6" s="66" t="n">
        <v>3</v>
      </c>
      <c r="H6" s="66" t="n">
        <v>3</v>
      </c>
      <c r="I6" s="66" t="n">
        <v>3</v>
      </c>
      <c r="J6" s="66" t="n">
        <v>3</v>
      </c>
      <c r="K6" s="67">
        <f>AVERAGE(G6:J6)</f>
        <v/>
      </c>
    </row>
    <row r="7" ht="76.5" customHeight="1">
      <c r="A7" s="63" t="n">
        <v>3</v>
      </c>
      <c r="B7" s="64" t="inlineStr">
        <is>
          <t>The shopping cart was preserved upon registering</t>
        </is>
      </c>
      <c r="C7" s="64" t="inlineStr">
        <is>
          <t>When the user put some items in the shopping cart as guest user and then created an account the items were preserved and automatically put into the users new shopping cart.</t>
        </is>
      </c>
      <c r="D7" s="64" t="inlineStr">
        <is>
          <t>p03-tp4-shopping-cart-preserved.mp4</t>
        </is>
      </c>
      <c r="E7" s="64" t="inlineStr">
        <is>
          <t>TP4 00:20:58</t>
        </is>
      </c>
      <c r="F7" s="64" t="inlineStr">
        <is>
          <t>Homepage → add item to cart → login/register an account → shopping cart</t>
        </is>
      </c>
      <c r="G7" s="66" t="n">
        <v>3</v>
      </c>
      <c r="H7" s="66" t="n">
        <v>3</v>
      </c>
      <c r="I7" s="66" t="n">
        <v>3</v>
      </c>
      <c r="J7" s="66" t="n">
        <v>3</v>
      </c>
      <c r="K7" s="67">
        <f>AVERAGE(G7:J7)</f>
        <v/>
      </c>
    </row>
    <row r="8" ht="51" customHeight="1">
      <c r="A8" s="63" t="n">
        <v>4</v>
      </c>
      <c r="B8" s="64" t="inlineStr">
        <is>
          <t>Nice Green Checkmark</t>
        </is>
      </c>
      <c r="C8" s="64" t="inlineStr">
        <is>
          <t>The user likes the feedback that the green checkmarks give.</t>
        </is>
      </c>
      <c r="D8" s="64" t="inlineStr">
        <is>
          <t>p04-tp2-nice-green-checkmarks.mp4</t>
        </is>
      </c>
      <c r="E8" s="64" t="inlineStr">
        <is>
          <t>TP2 00:23:40</t>
        </is>
      </c>
      <c r="F8" s="64" t="inlineStr">
        <is>
          <t>My Alza → New Registration</t>
        </is>
      </c>
      <c r="G8" s="66" t="n">
        <v>2</v>
      </c>
      <c r="H8" s="66" t="n">
        <v>2</v>
      </c>
      <c r="I8" s="66" t="n">
        <v>2</v>
      </c>
      <c r="J8" s="66" t="n">
        <v>3</v>
      </c>
      <c r="K8" s="67">
        <f>AVERAGE(G9:J9)</f>
        <v/>
      </c>
    </row>
    <row r="9" ht="25.5" customHeight="1">
      <c r="A9" s="63" t="n">
        <v>5</v>
      </c>
      <c r="B9" s="64" t="inlineStr">
        <is>
          <t>Search Bar Provides Accurate Suggestions</t>
        </is>
      </c>
      <c r="C9" s="64" t="inlineStr">
        <is>
          <t>The search bar offered relevant and accurate autocomplete suggestions as the user typed. The user explicitly praised this at the end of the session.</t>
        </is>
      </c>
      <c r="D9" s="64" t="inlineStr">
        <is>
          <t>p05-tp5-search-bar-praise.mp4</t>
        </is>
      </c>
      <c r="E9" s="64" t="inlineStr">
        <is>
          <t>TP5 00:21:51</t>
        </is>
      </c>
      <c r="F9" s="64" t="inlineStr">
        <is>
          <t>Site-wide search bar, on every page</t>
        </is>
      </c>
      <c r="G9" s="66" t="n">
        <v>2</v>
      </c>
      <c r="H9" s="66" t="n">
        <v>2</v>
      </c>
      <c r="I9" s="66" t="n">
        <v>3</v>
      </c>
      <c r="J9" s="66" t="n">
        <v>2</v>
      </c>
      <c r="K9" s="67">
        <f>AVERAGE(G10:J10)</f>
        <v/>
      </c>
    </row>
    <row r="10" ht="63.75" customHeight="1">
      <c r="A10" s="63" t="n">
        <v>6</v>
      </c>
      <c r="B10" s="64" t="inlineStr">
        <is>
          <t>Easy Navigation for New Users</t>
        </is>
      </c>
      <c r="C10" s="64" t="inlineStr">
        <is>
          <t>The user finds the website easy to navigate for people who are unfamiliar</t>
        </is>
      </c>
      <c r="D10" s="64" t="inlineStr">
        <is>
          <t>p06-tp1-easy-to-use.mp4</t>
        </is>
      </c>
      <c r="E10" s="64" t="inlineStr">
        <is>
          <t>TP1 00:02:23</t>
        </is>
      </c>
      <c r="F10" s="69" t="inlineStr">
        <is>
          <t>Homepage</t>
        </is>
      </c>
      <c r="G10" s="66" t="n">
        <v>2</v>
      </c>
      <c r="H10" s="66" t="n">
        <v>2</v>
      </c>
      <c r="I10" s="66" t="n">
        <v>2</v>
      </c>
      <c r="J10" s="66" t="n">
        <v>2</v>
      </c>
      <c r="K10" s="67">
        <f>AVERAGE(G11:J11)</f>
        <v/>
      </c>
    </row>
    <row r="11" ht="25.5" customHeight="1">
      <c r="A11" s="63" t="n">
        <v>7</v>
      </c>
      <c r="B11" s="64" t="inlineStr">
        <is>
          <t>Language Switch Works Smoothly</t>
        </is>
      </c>
      <c r="C11" s="64" t="inlineStr">
        <is>
          <t>The user changed the language of the site quickly and without any difficulty.</t>
        </is>
      </c>
      <c r="D11" s="64" t="inlineStr">
        <is>
          <t>p07-tp5-language-switch.mp4</t>
        </is>
      </c>
      <c r="E11" s="64" t="inlineStr">
        <is>
          <t>TP5 00:00:33</t>
        </is>
      </c>
      <c r="F11" s="64" t="inlineStr">
        <is>
          <t>Homepage → language selector</t>
        </is>
      </c>
      <c r="G11" s="66" t="n">
        <v>2</v>
      </c>
      <c r="H11" s="66" t="n">
        <v>1</v>
      </c>
      <c r="I11" s="66" t="n">
        <v>1</v>
      </c>
      <c r="J11" s="66" t="n">
        <v>1</v>
      </c>
      <c r="K11" s="67">
        <f>AVERAGE(G12:J12)</f>
        <v/>
      </c>
    </row>
    <row r="12" ht="63.75" customHeight="1">
      <c r="A12" s="63" t="n"/>
      <c r="B12" s="64" t="n"/>
      <c r="C12" s="64" t="n"/>
      <c r="D12" s="64" t="n"/>
      <c r="E12" s="64" t="n"/>
      <c r="F12" s="64" t="n"/>
      <c r="G12" s="66" t="n"/>
      <c r="H12" s="66" t="n"/>
      <c r="I12" s="66" t="n"/>
      <c r="J12" s="66" t="n"/>
      <c r="K12" s="67" t="n"/>
    </row>
    <row r="13">
      <c r="A13" s="63" t="n"/>
      <c r="B13" s="64" t="n"/>
      <c r="C13" s="64" t="n"/>
      <c r="D13" s="64" t="n"/>
      <c r="E13" s="64" t="n"/>
      <c r="F13" s="64" t="n"/>
      <c r="G13" s="66" t="n"/>
      <c r="H13" s="66" t="n"/>
      <c r="I13" s="66" t="n"/>
      <c r="J13" s="66" t="n"/>
      <c r="K13" s="67" t="n"/>
    </row>
  </sheetData>
  <pageMargins left="0.7" right="0.7" top="0.75" bottom="0.75" header="0.3" footer="0.3"/>
  <pageSetup orientation="portrait" paperSize="9" horizontalDpi="2400" verticalDpi="0"/>
</worksheet>
</file>

<file path=xl/worksheets/sheet5.xml><?xml version="1.0" encoding="utf-8"?>
<worksheet xmlns="http://schemas.openxmlformats.org/spreadsheetml/2006/main">
  <sheetPr>
    <outlinePr summaryBelow="1" summaryRight="1"/>
    <pageSetUpPr/>
  </sheetPr>
  <dimension ref="A1:Q11"/>
  <sheetViews>
    <sheetView workbookViewId="0">
      <selection activeCell="C2" sqref="C2"/>
    </sheetView>
  </sheetViews>
  <sheetFormatPr baseColWidth="10" defaultColWidth="11.42578125" defaultRowHeight="12.75"/>
  <cols>
    <col width="9.5703125" bestFit="1" customWidth="1" min="1" max="1"/>
    <col width="12.140625" bestFit="1" customWidth="1" style="23" min="2" max="2"/>
    <col width="22.140625" bestFit="1" customWidth="1" min="3" max="3"/>
    <col width="18.140625" bestFit="1" customWidth="1" min="4" max="4"/>
    <col width="23.140625" bestFit="1" customWidth="1" min="5" max="5"/>
    <col width="19.140625" bestFit="1" customWidth="1" min="6" max="6"/>
    <col width="27.85546875" bestFit="1" customWidth="1" min="7" max="7"/>
    <col width="23.85546875" bestFit="1" customWidth="1" min="8" max="8"/>
    <col width="27.85546875" bestFit="1" customWidth="1" min="9" max="9"/>
    <col width="23.85546875" bestFit="1" customWidth="1" min="10" max="10"/>
    <col width="32.140625" bestFit="1" customWidth="1" min="11" max="11"/>
    <col width="29.140625" bestFit="1" customWidth="1" min="12" max="12"/>
    <col width="24.140625" bestFit="1" customWidth="1" min="13" max="13"/>
    <col width="20.140625" bestFit="1" customWidth="1" min="14" max="14"/>
    <col width="24.42578125" customWidth="1" min="15" max="15"/>
    <col width="20.140625" bestFit="1" customWidth="1" min="16" max="17"/>
    <col width="22.140625" customWidth="1" min="18" max="18"/>
    <col width="22" customWidth="1" min="19" max="19"/>
    <col width="15.7109375" customWidth="1" min="20" max="20"/>
    <col width="14" customWidth="1" min="21" max="21"/>
    <col width="17.5703125" customWidth="1" min="22" max="22"/>
    <col width="16" customWidth="1" min="23" max="23"/>
    <col width="25" customWidth="1" min="24" max="24"/>
    <col width="19.85546875" customWidth="1" min="25" max="25"/>
    <col width="10.140625" customWidth="1" min="26" max="26"/>
    <col width="7.85546875" customWidth="1" min="27" max="27"/>
    <col width="8.7109375" customWidth="1" min="28" max="28"/>
    <col width="9.5703125" customWidth="1" min="29" max="29"/>
    <col width="8.7109375" customWidth="1" min="30" max="30"/>
    <col width="29.42578125" customWidth="1" min="31" max="31"/>
  </cols>
  <sheetData>
    <row r="1">
      <c r="A1" s="6" t="inlineStr">
        <is>
          <t>Feedback Questionnaire</t>
        </is>
      </c>
    </row>
    <row r="3" ht="13.5" customFormat="1" customHeight="1" s="1" thickBot="1">
      <c r="A3" s="31" t="inlineStr">
        <is>
          <t>User</t>
        </is>
      </c>
      <c r="B3" s="3" t="inlineStr">
        <is>
          <t>Alias</t>
        </is>
      </c>
      <c r="C3" s="29" t="inlineStr">
        <is>
          <t>1 Navigation</t>
        </is>
      </c>
      <c r="D3" s="30" t="inlineStr">
        <is>
          <t>2 Quality</t>
        </is>
      </c>
      <c r="E3" s="30" t="inlineStr">
        <is>
          <t>3 Easy to Read</t>
        </is>
      </c>
      <c r="F3" s="30" t="inlineStr">
        <is>
          <t>4 Local Search</t>
        </is>
      </c>
      <c r="G3" s="30" t="inlineStr">
        <is>
          <t>5 Appearance</t>
        </is>
      </c>
      <c r="H3" s="30" t="inlineStr">
        <is>
          <t>6 Consistency</t>
        </is>
      </c>
      <c r="I3" s="30" t="inlineStr">
        <is>
          <t>7 Speed</t>
        </is>
      </c>
      <c r="J3" s="30" t="inlineStr">
        <is>
          <t>8 Caring</t>
        </is>
      </c>
      <c r="K3" s="30" t="inlineStr">
        <is>
          <t>9 Relevance</t>
        </is>
      </c>
      <c r="L3" s="30" t="inlineStr">
        <is>
          <t>10 Overall Impression</t>
        </is>
      </c>
      <c r="M3" s="30" t="inlineStr">
        <is>
          <t>11 Trustworthy</t>
        </is>
      </c>
      <c r="N3" s="13" t="inlineStr">
        <is>
          <t>12 Return Visit</t>
        </is>
      </c>
      <c r="O3" s="13" t="inlineStr">
        <is>
          <t>13 Likely to Recommend</t>
        </is>
      </c>
      <c r="P3" s="13" t="inlineStr">
        <is>
          <t>14 ??</t>
        </is>
      </c>
      <c r="Q3" s="13" t="inlineStr">
        <is>
          <t>15 ??</t>
        </is>
      </c>
    </row>
    <row r="4" customFormat="1" s="18">
      <c r="A4" s="2" t="inlineStr">
        <is>
          <t>TP1 (Pilot)</t>
        </is>
      </c>
      <c r="B4" s="38" t="inlineStr">
        <is>
          <t>"Emma"</t>
        </is>
      </c>
      <c r="C4" s="32" t="n">
        <v>5</v>
      </c>
      <c r="D4" s="39" t="n">
        <v>1</v>
      </c>
      <c r="E4" s="32" t="n">
        <v>6</v>
      </c>
      <c r="F4" s="32" t="n">
        <v>2</v>
      </c>
      <c r="G4" s="32" t="n">
        <v>5</v>
      </c>
      <c r="H4" s="32" t="n">
        <v>2</v>
      </c>
      <c r="I4" s="32" t="n">
        <v>6</v>
      </c>
      <c r="J4" s="32" t="n">
        <v>2</v>
      </c>
      <c r="K4" s="32" t="n">
        <v>6</v>
      </c>
      <c r="L4" s="32" t="n">
        <v>5</v>
      </c>
      <c r="M4" s="46" t="n">
        <v>6</v>
      </c>
      <c r="N4" s="46" t="n">
        <v>3</v>
      </c>
      <c r="O4" s="46" t="n">
        <v>3</v>
      </c>
      <c r="P4" s="46" t="n">
        <v>3</v>
      </c>
      <c r="Q4" s="46" t="n">
        <v>3</v>
      </c>
    </row>
    <row r="5" customFormat="1" s="18">
      <c r="A5" s="2" t="inlineStr">
        <is>
          <t>TP2</t>
        </is>
      </c>
      <c r="B5" s="38" t="inlineStr">
        <is>
          <t>"Lily"</t>
        </is>
      </c>
      <c r="C5" s="32" t="n">
        <v>4</v>
      </c>
      <c r="D5" s="32" t="n">
        <v>2</v>
      </c>
      <c r="E5" s="32" t="n">
        <v>4</v>
      </c>
      <c r="F5" s="32" t="n">
        <v>2</v>
      </c>
      <c r="G5" s="32" t="n">
        <v>2</v>
      </c>
      <c r="H5" s="32" t="n">
        <v>2</v>
      </c>
      <c r="I5" s="32" t="n">
        <v>5</v>
      </c>
      <c r="J5" s="32" t="n">
        <v>4</v>
      </c>
      <c r="K5" s="32" t="n">
        <v>6</v>
      </c>
      <c r="L5" s="32" t="n">
        <v>4</v>
      </c>
      <c r="M5" s="47" t="n">
        <v>3</v>
      </c>
      <c r="N5" s="47" t="n">
        <v>3</v>
      </c>
      <c r="O5" s="47" t="n">
        <v>2</v>
      </c>
      <c r="P5" s="47" t="n">
        <v>3</v>
      </c>
      <c r="Q5" s="47" t="n">
        <v>3</v>
      </c>
    </row>
    <row r="6" customFormat="1" s="18">
      <c r="A6" s="2" t="inlineStr">
        <is>
          <t>TP3</t>
        </is>
      </c>
      <c r="B6" s="38" t="inlineStr">
        <is>
          <t>"Chloe"</t>
        </is>
      </c>
      <c r="C6" s="32" t="n">
        <v>3</v>
      </c>
      <c r="D6" s="32" t="n">
        <v>2</v>
      </c>
      <c r="E6" s="32" t="n">
        <v>4</v>
      </c>
      <c r="F6" s="32" t="n">
        <v>2</v>
      </c>
      <c r="G6" s="32" t="n">
        <v>2</v>
      </c>
      <c r="H6" s="32" t="n">
        <v>4</v>
      </c>
      <c r="I6" s="32" t="n">
        <v>4</v>
      </c>
      <c r="J6" s="32" t="n">
        <v>5</v>
      </c>
      <c r="K6" s="32" t="n">
        <v>3</v>
      </c>
      <c r="L6" s="32" t="n">
        <v>5</v>
      </c>
      <c r="M6" s="47" t="n">
        <v>6</v>
      </c>
      <c r="N6" s="47" t="n">
        <v>4</v>
      </c>
      <c r="O6" s="47" t="n">
        <v>4</v>
      </c>
      <c r="P6" s="47" t="n">
        <v>4</v>
      </c>
      <c r="Q6" s="47" t="n">
        <v>4</v>
      </c>
    </row>
    <row r="7" customFormat="1" s="18">
      <c r="A7" s="2" t="inlineStr">
        <is>
          <t>TP4</t>
        </is>
      </c>
      <c r="B7" s="38" t="inlineStr">
        <is>
          <t>"Jack"</t>
        </is>
      </c>
      <c r="C7" s="32" t="n">
        <v>2</v>
      </c>
      <c r="D7" s="32" t="n">
        <v>3</v>
      </c>
      <c r="E7" s="32" t="n">
        <v>3</v>
      </c>
      <c r="F7" s="32" t="n">
        <v>4</v>
      </c>
      <c r="G7" s="32" t="n">
        <v>2</v>
      </c>
      <c r="H7" s="32" t="n">
        <v>2</v>
      </c>
      <c r="I7" s="32" t="n">
        <v>4</v>
      </c>
      <c r="J7" s="32" t="n">
        <v>5</v>
      </c>
      <c r="K7" s="32" t="n">
        <v>5</v>
      </c>
      <c r="L7" s="32" t="n">
        <v>5</v>
      </c>
      <c r="M7" s="47" t="n">
        <v>3</v>
      </c>
      <c r="N7" s="47" t="n">
        <v>3</v>
      </c>
      <c r="O7" s="47" t="n">
        <v>3</v>
      </c>
      <c r="P7" s="47" t="n">
        <v>3</v>
      </c>
      <c r="Q7" s="47" t="n">
        <v>3</v>
      </c>
    </row>
    <row r="8" ht="13.5" customFormat="1" customHeight="1" s="18" thickBot="1">
      <c r="A8" s="19" t="inlineStr">
        <is>
          <t>TP5</t>
        </is>
      </c>
      <c r="B8" s="62" t="inlineStr">
        <is>
          <t>"Ethan"</t>
        </is>
      </c>
      <c r="C8" s="33" t="n">
        <v>3</v>
      </c>
      <c r="D8" s="33" t="n">
        <v>2</v>
      </c>
      <c r="E8" s="33" t="n">
        <v>2</v>
      </c>
      <c r="F8" s="33" t="n">
        <v>1</v>
      </c>
      <c r="G8" s="33" t="n">
        <v>3</v>
      </c>
      <c r="H8" s="33" t="n">
        <v>2</v>
      </c>
      <c r="I8" s="33" t="n">
        <v>4</v>
      </c>
      <c r="J8" s="33" t="n">
        <v>5</v>
      </c>
      <c r="K8" s="33" t="n">
        <v>4</v>
      </c>
      <c r="L8" s="33" t="n">
        <v>4</v>
      </c>
      <c r="M8" s="48" t="n">
        <v>4</v>
      </c>
      <c r="N8" s="48" t="n">
        <v>2</v>
      </c>
      <c r="O8" s="48" t="n">
        <v>2</v>
      </c>
      <c r="P8" s="48" t="n">
        <v>2</v>
      </c>
      <c r="Q8" s="48" t="n">
        <v>2</v>
      </c>
    </row>
    <row r="9" ht="13.5" customHeight="1" thickBot="1">
      <c r="C9" s="18" t="n"/>
      <c r="D9" s="18" t="n"/>
      <c r="E9" s="18" t="n"/>
      <c r="F9" s="18" t="n"/>
      <c r="G9" s="18" t="n"/>
      <c r="H9" s="18" t="n"/>
      <c r="I9" s="18" t="n"/>
      <c r="J9" s="18" t="n"/>
      <c r="K9" s="18" t="n"/>
      <c r="L9" s="18" t="n"/>
      <c r="M9" s="18" t="n"/>
    </row>
    <row r="10" customFormat="1" s="18">
      <c r="A10" s="24" t="n"/>
      <c r="B10" s="24" t="inlineStr">
        <is>
          <t>Mean</t>
        </is>
      </c>
      <c r="C10" s="50">
        <f>AVERAGE(C4:C8)</f>
        <v/>
      </c>
      <c r="D10" s="50">
        <f>AVERAGE(D4:D8)</f>
        <v/>
      </c>
      <c r="E10" s="50">
        <f>AVERAGE(E4:E8)</f>
        <v/>
      </c>
      <c r="F10" s="50">
        <f>AVERAGE(F4:F8)</f>
        <v/>
      </c>
      <c r="G10" s="50">
        <f>AVERAGE(G4:G8)</f>
        <v/>
      </c>
      <c r="H10" s="50">
        <f>AVERAGE(H4:H8)</f>
        <v/>
      </c>
      <c r="I10" s="50">
        <f>AVERAGE(I4:I8)</f>
        <v/>
      </c>
      <c r="J10" s="50">
        <f>AVERAGE(J4:J8)</f>
        <v/>
      </c>
      <c r="K10" s="50">
        <f>AVERAGE(K4:K8)</f>
        <v/>
      </c>
      <c r="L10" s="50">
        <f>AVERAGE(L4:L8)</f>
        <v/>
      </c>
      <c r="M10" s="50">
        <f>AVERAGE(M4:M8)</f>
        <v/>
      </c>
      <c r="N10" s="50">
        <f>AVERAGE(N4:N8)</f>
        <v/>
      </c>
      <c r="O10" s="50">
        <f>AVERAGE(O4:O8)</f>
        <v/>
      </c>
      <c r="P10" s="50">
        <f>AVERAGE(P4:P8)</f>
        <v/>
      </c>
      <c r="Q10" s="50">
        <f>AVERAGE(Q4:Q8)</f>
        <v/>
      </c>
    </row>
    <row r="11" ht="13.5" customFormat="1" customHeight="1" s="18" thickBot="1">
      <c r="A11" s="24" t="n"/>
      <c r="B11" s="24" t="inlineStr">
        <is>
          <t>StdDev</t>
        </is>
      </c>
      <c r="C11" s="34">
        <f>STDEV(C4:C8)</f>
        <v/>
      </c>
      <c r="D11" s="34">
        <f>STDEV(D4:D8)</f>
        <v/>
      </c>
      <c r="E11" s="34">
        <f>STDEV(E4:E8)</f>
        <v/>
      </c>
      <c r="F11" s="34">
        <f>STDEV(F4:F8)</f>
        <v/>
      </c>
      <c r="G11" s="34">
        <f>STDEV(G4:G8)</f>
        <v/>
      </c>
      <c r="H11" s="34">
        <f>STDEV(H4:H8)</f>
        <v/>
      </c>
      <c r="I11" s="34">
        <f>STDEV(I4:I8)</f>
        <v/>
      </c>
      <c r="J11" s="34">
        <f>STDEV(J4:J8)</f>
        <v/>
      </c>
      <c r="K11" s="34">
        <f>STDEV(K4:K8)</f>
        <v/>
      </c>
      <c r="L11" s="34">
        <f>STDEV(L4:L8)</f>
        <v/>
      </c>
      <c r="M11" s="34">
        <f>STDEV(M4:M8)</f>
        <v/>
      </c>
      <c r="N11" s="34">
        <f>STDEV(N4:N8)</f>
        <v/>
      </c>
      <c r="O11" s="34">
        <f>STDEV(O4:O8)</f>
        <v/>
      </c>
      <c r="P11" s="34">
        <f>STDEV(P4:P8)</f>
        <v/>
      </c>
      <c r="Q11" s="34">
        <f>STDEV(Q4:Q8)</f>
        <v/>
      </c>
    </row>
  </sheetData>
  <pageMargins left="0.75" right="0.75" top="1" bottom="1" header="0.4921259845" footer="0.4921259845"/>
  <pageSetup orientation="portrait" paperSize="9" horizontalDpi="1200" verticalDpi="12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kandrews</dc:creator>
  <dcterms:created xsi:type="dcterms:W3CDTF">2005-01-12T10:04:19Z</dcterms:created>
  <dcterms:modified xsi:type="dcterms:W3CDTF">2026-05-18T17:08:48Z</dcterms:modified>
  <cp:lastModifiedBy>Fabian Mehedincu</cp:lastModifiedBy>
</cp:coreProperties>
</file>